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قرأني" sheetId="1" state="visible" r:id="rId1"/>
    <sheet name="Purposes" sheetId="2" state="visible" r:id="rId2"/>
    <sheet name="Sites" sheetId="3" state="visible" r:id="rId3"/>
    <sheet name="Sources &amp; method" sheetId="4" state="visible" r:id="rId4"/>
    <sheet name="Gemini review" sheetId="5" state="visible" r:id="rId5"/>
  </sheets>
  <definedNames>
    <definedName name="_xlnm._FilterDatabase" localSheetId="2" hidden="1">'Sites'!$A$1:$U$51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</font>
    <font>
      <name val="Arial"/>
      <b val="1"/>
    </font>
    <font>
      <name val="Arial"/>
      <b val="1"/>
      <color rgb="00FFFFFF"/>
    </font>
    <font>
      <name val="Arial"/>
      <i val="1"/>
      <color rgb="00808080"/>
    </font>
  </fonts>
  <fills count="5">
    <fill>
      <patternFill/>
    </fill>
    <fill>
      <patternFill patternType="gray125"/>
    </fill>
    <fill>
      <patternFill patternType="solid">
        <fgColor rgb="00B93D0C"/>
      </patternFill>
    </fill>
    <fill>
      <patternFill patternType="solid">
        <fgColor rgb="00F2F2F2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right" wrapText="1"/>
    </xf>
    <xf numFmtId="0" fontId="2" fillId="0" borderId="0" applyAlignment="1" pivotButton="0" quotePrefix="0" xfId="0">
      <alignment horizontal="right" wrapText="1"/>
    </xf>
    <xf numFmtId="0" fontId="3" fillId="0" borderId="0" applyAlignment="1" pivotButton="0" quotePrefix="0" xfId="0">
      <alignment horizontal="right" wrapText="1"/>
    </xf>
    <xf numFmtId="0" fontId="4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5" fillId="0" borderId="1" pivotButton="0" quotePrefix="0" xfId="0"/>
    <xf numFmtId="0" fontId="0" fillId="0" borderId="1" pivotButton="0" quotePrefix="0" xfId="0"/>
    <xf numFmtId="0" fontId="2" fillId="3" borderId="1" pivotButton="0" quotePrefix="0" xfId="0"/>
    <xf numFmtId="164" fontId="2" fillId="3" borderId="1" pivotButton="0" quotePrefix="0" xfId="0"/>
    <xf numFmtId="0" fontId="2" fillId="4" borderId="1" pivotButton="0" quotePrefix="0" xfId="0"/>
    <xf numFmtId="165" fontId="2" fillId="3" borderId="1" pivotButton="0" quotePrefix="0" xfId="0"/>
    <xf numFmtId="165" fontId="2" fillId="4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rightToLeft="1"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بيانات Mars Among Us: أماكن على الأرض بتشبه القمر والمريخ</t>
        </is>
      </c>
    </row>
    <row r="2">
      <c r="A2" s="2" t="inlineStr"/>
    </row>
    <row r="3">
      <c r="A3" s="3" t="inlineStr">
        <is>
          <t>شو هاد؟</t>
        </is>
      </c>
    </row>
    <row r="4">
      <c r="A4" s="2" t="inlineStr">
        <is>
          <t>Purposes: لكل هدف (تجربة روفرات، قاعدة، موارد، حياة، تدريب) العوامل المهمة ووزنها.</t>
        </is>
      </c>
    </row>
    <row r="5">
      <c r="A5" s="2" t="inlineStr">
        <is>
          <t>Sites: 25 موقع على الأرض + 9 مناطق Artemis III على القمر + 5 مواقع على المريخ، بنفس الأعمدة.</t>
        </is>
      </c>
    </row>
    <row r="6">
      <c r="A6" s="2" t="inlineStr">
        <is>
          <t>Sources &amp; method: من وين إجا كل رقم وكيف انحسب.   Gemini review: ادعاءات ما استعملناها وليش.</t>
        </is>
      </c>
    </row>
    <row r="7">
      <c r="A7" s="2" t="inlineStr"/>
    </row>
    <row r="8">
      <c r="A8" s="3" t="inlineStr">
        <is>
          <t>الألوان</t>
        </is>
      </c>
    </row>
    <row r="9">
      <c r="A9" s="2" t="inlineStr">
        <is>
          <t>• رمادي = معبّى من مصدر (لا تغيّر).   أصفر = لسا فاضي، بتعبّيه إذا لقيت مصدر.</t>
        </is>
      </c>
    </row>
    <row r="10">
      <c r="A10" s="2" t="inlineStr">
        <is>
          <t>• القاعدة: كل رقم إله مصدر. الفراغ أحسن من رقم مخمّن.</t>
        </is>
      </c>
    </row>
    <row r="11">
      <c r="A11" s="2" t="inlineStr"/>
    </row>
    <row r="12">
      <c r="A12" s="3" t="inlineStr">
        <is>
          <t>ملاحظات مهمة</t>
        </is>
      </c>
    </row>
    <row r="13">
      <c r="A13" s="2" t="inlineStr">
        <is>
          <t>• المناخ (NASA POWER) لمنطقة عرضها حوالي 50 كم، مش للنقطة بالزبط.</t>
        </is>
      </c>
    </row>
    <row r="14">
      <c r="A14" s="2" t="inlineStr">
        <is>
          <t>• الميلان والارتفاع لمواقع الأرض انحسبوا من خريطة ارتفاعات ASTER (30 م) بنافذة 0.6 كم حول الإحداثيات. إذا الإحداثيات تقريبية (مركز منطقة)، الرقم بيمثل هاي النقطة بس.</t>
        </is>
      </c>
    </row>
    <row r="15">
      <c r="A15" s="2" t="inlineStr">
        <is>
          <t>• إحداثيات مناطق القمر = متوسط مواقع الهبوط المرشحة المنشورة داخل كل منطقة.</t>
        </is>
      </c>
    </row>
    <row r="16">
      <c r="A16" s="2" t="inlineStr">
        <is>
          <t>• الأوزان: كل عامل إله نفس الوزن داخل كل هدف، على طريقة بحث NASA المنشور (Stern et al. 2025). وشرط ثابت: ميلان الهبوط أقل من 8°.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0" customWidth="1" min="2" max="2"/>
    <col width="44" customWidth="1" min="3" max="3"/>
    <col width="12" customWidth="1" min="4" max="4"/>
    <col width="26" customWidth="1" min="5" max="5"/>
    <col width="56" customWidth="1" min="6" max="6"/>
    <col width="32" customWidth="1" min="7" max="7"/>
    <col width="46" customWidth="1" min="8" max="8"/>
  </cols>
  <sheetData>
    <row r="1" ht="44" customHeight="1">
      <c r="A1" s="4" t="inlineStr">
        <is>
          <t>Purpose</t>
        </is>
      </c>
      <c r="B1" s="4" t="inlineStr">
        <is>
          <t>Body</t>
        </is>
      </c>
      <c r="C1" s="4" t="inlineStr">
        <is>
          <t>Factors compared</t>
        </is>
      </c>
      <c r="D1" s="4" t="inlineStr">
        <is>
          <t>Weight per factor</t>
        </is>
      </c>
      <c r="E1" s="4" t="inlineStr">
        <is>
          <t>Hard constraint</t>
        </is>
      </c>
      <c r="F1" s="4" t="inlineStr">
        <is>
          <t>Why these factors</t>
        </is>
      </c>
      <c r="G1" s="4" t="inlineStr">
        <is>
          <t>Earth analog actually used for this (sourced)</t>
        </is>
      </c>
      <c r="H1" s="4" t="inlineStr">
        <is>
          <t>Source URL</t>
        </is>
      </c>
    </row>
    <row r="2" ht="62" customHeight="1">
      <c r="A2" s="5" t="inlineStr">
        <is>
          <t>Rover / mobility testing</t>
        </is>
      </c>
      <c r="B2" s="5" t="inlineStr">
        <is>
          <t>Moon + Mars</t>
        </is>
      </c>
      <c r="C2" s="5" t="inlineStr">
        <is>
          <t>Slope · Surface / rock type · Local relief · Daily temperature range</t>
        </is>
      </c>
      <c r="D2" s="5">
        <f>ROUND(100/4,1)&amp;"%"</f>
        <v/>
      </c>
      <c r="E2" s="5" t="inlineStr"/>
      <c r="F2" s="5" t="inlineStr">
        <is>
          <t>Mobility depends on ground geometry (slope, relief), on what the wheels drive on, and on thermal cycling of hardware.</t>
        </is>
      </c>
      <c r="G2" s="5" t="inlineStr">
        <is>
          <t>Mars Desert Research Station area, Utah</t>
        </is>
      </c>
      <c r="H2" s="5" t="inlineStr">
        <is>
          <t>https://www.lpi.usra.edu/meetings/analogues2011/pdf/6029.pdf</t>
        </is>
      </c>
    </row>
    <row r="3" ht="62" customHeight="1">
      <c r="A3" s="5" t="inlineStr">
        <is>
          <t>Base / habitat building</t>
        </is>
      </c>
      <c r="B3" s="5" t="inlineStr">
        <is>
          <t>Moon + Mars</t>
        </is>
      </c>
      <c r="C3" s="5" t="inlineStr">
        <is>
          <t>Daily temperature range · Mean temperature · Slope · Surface / rock type · Sunlight (Moon only)</t>
        </is>
      </c>
      <c r="D3" s="5">
        <f>ROUND(100/5,1)&amp;"%"</f>
        <v/>
      </c>
      <c r="E3" s="5" t="inlineStr">
        <is>
          <t>Landing slope &lt; 8° (NASA HLS requirement, cited in JGR Planets 2025)</t>
        </is>
      </c>
      <c r="F3" s="5" t="inlineStr">
        <is>
          <t>A habitat must survive the thermal environment on flat, stable ground; sunlight matters only on the Moon (on Mars the 4 other factors share 25% each).</t>
        </is>
      </c>
      <c r="G3" s="5" t="inlineStr">
        <is>
          <t>Mars Desert Research Station area, Utah</t>
        </is>
      </c>
      <c r="H3" s="5" t="inlineStr">
        <is>
          <t>https://www.lpi.usra.edu/meetings/analogues2011/pdf/6029.pdf</t>
        </is>
      </c>
    </row>
    <row r="4" ht="62" customHeight="1">
      <c r="A4" s="5" t="inlineStr">
        <is>
          <t>In-situ resource use (ISRU)</t>
        </is>
      </c>
      <c r="B4" s="5" t="inlineStr">
        <is>
          <t>Moon + Mars</t>
        </is>
      </c>
      <c r="C4" s="5" t="inlineStr">
        <is>
          <t>Surface / rock type · Access to ice / cold traps · Mean temperature</t>
        </is>
      </c>
      <c r="D4" s="5">
        <f>ROUND(100/3,1)&amp;"%"</f>
        <v/>
      </c>
      <c r="E4" s="5" t="inlineStr"/>
      <c r="F4" s="5" t="inlineStr">
        <is>
          <t>Resource use depends on what the ground is made of (anorthosite, basalt, ice) and on cold traps that hold water ice.</t>
        </is>
      </c>
      <c r="G4" s="5" t="inlineStr"/>
      <c r="H4" s="5" t="inlineStr"/>
    </row>
    <row r="5" ht="62" customHeight="1">
      <c r="A5" s="5" t="inlineStr">
        <is>
          <t>Search for life (astrobiology)</t>
        </is>
      </c>
      <c r="B5" s="5" t="inlineStr">
        <is>
          <t>Mars</t>
        </is>
      </c>
      <c r="C5" s="5" t="inlineStr">
        <is>
          <t>Aridity (precipitation) · Surface chemistry · Mean temperature · Radiation / UV</t>
        </is>
      </c>
      <c r="D5" s="5">
        <f>ROUND(100/4,1)&amp;"%"</f>
        <v/>
      </c>
      <c r="E5" s="5" t="inlineStr"/>
      <c r="F5" s="5" t="inlineStr">
        <is>
          <t>Extreme dryness and Mars-like soil chemistry are why sites like the Atacama are used.</t>
        </is>
      </c>
      <c r="G5" s="5" t="inlineStr">
        <is>
          <t>Yungay, Atacama Desert</t>
        </is>
      </c>
      <c r="H5" s="5" t="inlineStr">
        <is>
          <t>https://www.nature.com/articles/s41598-020-76302-z</t>
        </is>
      </c>
    </row>
    <row r="6" ht="62" customHeight="1">
      <c r="A6" s="5" t="inlineStr">
        <is>
          <t>Astronaut training (field geology)</t>
        </is>
      </c>
      <c r="B6" s="5" t="inlineStr">
        <is>
          <t>Moon + Mars</t>
        </is>
      </c>
      <c r="C6" s="5" t="inlineStr">
        <is>
          <t>Surface / rock type · Landform match · Local relief</t>
        </is>
      </c>
      <c r="D6" s="5">
        <f>ROUND(100/3,1)&amp;"%"</f>
        <v/>
      </c>
      <c r="E6" s="5" t="inlineStr"/>
      <c r="F6" s="5" t="inlineStr">
        <is>
          <t>Training is about recognising the right rocks and landforms (impact craters, anorthosite, lava).</t>
        </is>
      </c>
      <c r="G6" s="5" t="inlineStr">
        <is>
          <t>Nördlinger Ries crater; Lofoten; Craters of the Moon</t>
        </is>
      </c>
      <c r="H6" s="5" t="inlineStr">
        <is>
          <t>https://blogs.esa.int/caves/2017/09/18/the-astronauts-are-back/</t>
        </is>
      </c>
    </row>
    <row r="8" ht="48" customHeight="1">
      <c r="A8" s="6" t="inlineStr">
        <is>
          <t>Method: factors are chosen per purpose ("traceability to a science question"), and every factor counts equally, as in the scoring of Stern et al., JGR Planets 2025 (doi 10.1029/2024JE008803). Each factor is scored separately, so the result always shows which factors match and which do not.</t>
        </is>
      </c>
    </row>
    <row r="9">
      <c r="A9" s="7" t="inlineStr">
        <is>
          <t>Source: https://agupubs.onlinelibrary.wiley.com/doi/full/10.1029/2024JE008803</t>
        </is>
      </c>
    </row>
  </sheetData>
  <mergeCells count="1">
    <mergeCell ref="A8:H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10" customWidth="1" min="4" max="4"/>
    <col width="22" customWidth="1" min="5" max="5"/>
    <col width="10" customWidth="1" min="6" max="6"/>
    <col width="11" customWidth="1" min="7" max="7"/>
    <col width="22" customWidth="1" min="8" max="8"/>
    <col width="11" customWidth="1" min="9" max="9"/>
    <col width="11" customWidth="1" min="10" max="10"/>
    <col width="11" customWidth="1" min="11" max="11"/>
    <col width="11" customWidth="1" min="12" max="12"/>
    <col width="12" customWidth="1" min="13" max="13"/>
    <col width="11" customWidth="1" min="14" max="14"/>
    <col width="11" customWidth="1" min="15" max="15"/>
    <col width="11" customWidth="1" min="16" max="16"/>
    <col width="30" customWidth="1" min="17" max="17"/>
    <col width="11" customWidth="1" min="18" max="18"/>
    <col width="52" customWidth="1" min="19" max="19"/>
    <col width="44" customWidth="1" min="20" max="20"/>
    <col width="40" customWidth="1" min="21" max="21"/>
  </cols>
  <sheetData>
    <row r="1" ht="44" customHeight="1">
      <c r="A1" s="4" t="inlineStr">
        <is>
          <t>ID</t>
        </is>
      </c>
      <c r="B1" s="4" t="inlineStr">
        <is>
          <t>Site</t>
        </is>
      </c>
      <c r="C1" s="4" t="inlineStr">
        <is>
          <t>Body</t>
        </is>
      </c>
      <c r="D1" s="4" t="inlineStr">
        <is>
          <t>Analog for</t>
        </is>
      </c>
      <c r="E1" s="4" t="inlineStr">
        <is>
          <t>Country / region</t>
        </is>
      </c>
      <c r="F1" s="4" t="inlineStr">
        <is>
          <t>Latitude</t>
        </is>
      </c>
      <c r="G1" s="4" t="inlineStr">
        <is>
          <t>Longitude</t>
        </is>
      </c>
      <c r="H1" s="4" t="inlineStr">
        <is>
          <t>Best for purpose</t>
        </is>
      </c>
      <c r="I1" s="4" t="inlineStr">
        <is>
          <t>Mean temperature (°C)</t>
        </is>
      </c>
      <c r="J1" s="4" t="inlineStr">
        <is>
          <t>Daily temperature range (°C)</t>
        </is>
      </c>
      <c r="K1" s="4" t="inlineStr">
        <is>
          <t>Precipitation (mm/day)</t>
        </is>
      </c>
      <c r="L1" s="4" t="inlineStr">
        <is>
          <t>Annual precipitation (mm)</t>
        </is>
      </c>
      <c r="M1" s="4" t="inlineStr">
        <is>
          <t>Grid elevation (m, ~50 km cell)</t>
        </is>
      </c>
      <c r="N1" s="4" t="inlineStr">
        <is>
          <t>Site elevation (m)</t>
        </is>
      </c>
      <c r="O1" s="4" t="inlineStr">
        <is>
          <t>Slope at site (°, 0.6 km window)</t>
        </is>
      </c>
      <c r="P1" s="4" t="inlineStr">
        <is>
          <t>Local relief (m, 0.6 km window)</t>
        </is>
      </c>
      <c r="Q1" s="4" t="inlineStr">
        <is>
          <t>Surface / rock type</t>
        </is>
      </c>
      <c r="R1" s="4" t="inlineStr">
        <is>
          <t>Sunlight (% of time, Moon)</t>
        </is>
      </c>
      <c r="S1" s="4" t="inlineStr">
        <is>
          <t>Notes</t>
        </is>
      </c>
      <c r="T1" s="4" t="inlineStr">
        <is>
          <t>Analog / coordinates source</t>
        </is>
      </c>
      <c r="U1" s="4" t="inlineStr">
        <is>
          <t>Climate &amp; terrain source</t>
        </is>
      </c>
    </row>
    <row r="2">
      <c r="A2" s="8" t="inlineStr">
        <is>
          <t>example</t>
        </is>
      </c>
      <c r="B2" s="8" t="inlineStr">
        <is>
          <t>Example (format only, not real data)</t>
        </is>
      </c>
      <c r="C2" s="8" t="inlineStr">
        <is>
          <t>Earth</t>
        </is>
      </c>
      <c r="D2" s="8" t="inlineStr">
        <is>
          <t>Mars</t>
        </is>
      </c>
      <c r="E2" s="8" t="inlineStr">
        <is>
          <t>Country</t>
        </is>
      </c>
      <c r="F2" s="8" t="n">
        <v>12.345</v>
      </c>
      <c r="G2" s="8" t="n">
        <v>-67.89</v>
      </c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</row>
    <row r="3">
      <c r="A3" s="10" t="inlineStr">
        <is>
          <t>la-joya</t>
        </is>
      </c>
      <c r="B3" s="10" t="inlineStr">
        <is>
          <t>Pampa de La Joya barchan field</t>
        </is>
      </c>
      <c r="C3" s="10" t="inlineStr">
        <is>
          <t>Earth</t>
        </is>
      </c>
      <c r="D3" s="10" t="inlineStr">
        <is>
          <t>Mars</t>
        </is>
      </c>
      <c r="E3" s="10" t="inlineStr">
        <is>
          <t>Peru</t>
        </is>
      </c>
      <c r="F3" s="11" t="n">
        <v>-16.6</v>
      </c>
      <c r="G3" s="11" t="n">
        <v>-72</v>
      </c>
      <c r="H3" s="12" t="n"/>
      <c r="I3" s="13" t="n">
        <v>16.08</v>
      </c>
      <c r="J3" s="13" t="n">
        <v>10.91</v>
      </c>
      <c r="K3" s="10" t="n">
        <v>0.27</v>
      </c>
      <c r="L3" s="10">
        <f>ROUND(K3*365,0)</f>
        <v/>
      </c>
      <c r="M3" s="10" t="n">
        <v>1941</v>
      </c>
      <c r="N3" s="10" t="n">
        <v>1190</v>
      </c>
      <c r="O3" s="13" t="n">
        <v>1.7</v>
      </c>
      <c r="P3" s="10" t="n">
        <v>26</v>
      </c>
      <c r="Q3" s="10" t="inlineStr">
        <is>
          <t>Barchan dune sand; hyper-arid soil</t>
        </is>
      </c>
      <c r="R3" s="12" t="n"/>
      <c r="S3" s="12" t="n"/>
      <c r="T3" s="10" t="inlineStr">
        <is>
          <t>https://agupubs.onlinelibrary.wiley.com/doi/full/10.1029/2007JF000767</t>
        </is>
      </c>
      <c r="U3" s="10" t="inlineStr">
        <is>
          <t>NASA POWER 2001-2020 (MERRA-2); ASTER GDEM via OpenTopoData</t>
        </is>
      </c>
    </row>
    <row r="4">
      <c r="A4" s="10" t="inlineStr">
        <is>
          <t>white-sands</t>
        </is>
      </c>
      <c r="B4" s="10" t="inlineStr">
        <is>
          <t>White Sands gypsum dune field</t>
        </is>
      </c>
      <c r="C4" s="10" t="inlineStr">
        <is>
          <t>Earth</t>
        </is>
      </c>
      <c r="D4" s="10" t="inlineStr">
        <is>
          <t>Mars</t>
        </is>
      </c>
      <c r="E4" s="10" t="inlineStr">
        <is>
          <t>USA (New Mexico)</t>
        </is>
      </c>
      <c r="F4" s="11" t="n">
        <v>32.78</v>
      </c>
      <c r="G4" s="11" t="n">
        <v>-106.17</v>
      </c>
      <c r="H4" s="12" t="n"/>
      <c r="I4" s="13" t="n">
        <v>16.33</v>
      </c>
      <c r="J4" s="13" t="n">
        <v>14.44</v>
      </c>
      <c r="K4" s="10" t="n">
        <v>0.75</v>
      </c>
      <c r="L4" s="10">
        <f>ROUND(K4*365,0)</f>
        <v/>
      </c>
      <c r="M4" s="10" t="n">
        <v>1450</v>
      </c>
      <c r="N4" s="10" t="n">
        <v>1220</v>
      </c>
      <c r="O4" s="13" t="n">
        <v>0.5</v>
      </c>
      <c r="P4" s="10" t="n">
        <v>8</v>
      </c>
      <c r="Q4" s="10" t="inlineStr">
        <is>
          <t>Gypsum sand dunes</t>
        </is>
      </c>
      <c r="R4" s="12" t="n"/>
      <c r="S4" s="12" t="n"/>
      <c r="T4" s="10" t="inlineStr">
        <is>
          <t>https://www.sciencedirect.com/science/article/abs/pii/S0169555X09000786</t>
        </is>
      </c>
      <c r="U4" s="10" t="inlineStr">
        <is>
          <t>NASA POWER 2001-2020 (MERRA-2); ASTER GDEM via OpenTopoData</t>
        </is>
      </c>
    </row>
    <row r="5">
      <c r="A5" s="10" t="inlineStr">
        <is>
          <t>namib</t>
        </is>
      </c>
      <c r="B5" s="10" t="inlineStr">
        <is>
          <t>Namib Sand Sea linear dunes</t>
        </is>
      </c>
      <c r="C5" s="10" t="inlineStr">
        <is>
          <t>Earth</t>
        </is>
      </c>
      <c r="D5" s="10" t="inlineStr">
        <is>
          <t>Mars</t>
        </is>
      </c>
      <c r="E5" s="10" t="inlineStr">
        <is>
          <t>Namibia</t>
        </is>
      </c>
      <c r="F5" s="11" t="n">
        <v>-24.7</v>
      </c>
      <c r="G5" s="11" t="n">
        <v>15.4</v>
      </c>
      <c r="H5" s="12" t="n"/>
      <c r="I5" s="13" t="n">
        <v>22.42</v>
      </c>
      <c r="J5" s="13" t="n">
        <v>16.07</v>
      </c>
      <c r="K5" s="10" t="n">
        <v>0.22</v>
      </c>
      <c r="L5" s="10">
        <f>ROUND(K5*365,0)</f>
        <v/>
      </c>
      <c r="M5" s="10" t="n">
        <v>872</v>
      </c>
      <c r="N5" s="10" t="n">
        <v>768</v>
      </c>
      <c r="O5" s="13" t="n">
        <v>14.7</v>
      </c>
      <c r="P5" s="10" t="n">
        <v>186</v>
      </c>
      <c r="Q5" s="10" t="inlineStr">
        <is>
          <t>Linear dune sand</t>
        </is>
      </c>
      <c r="R5" s="12" t="n"/>
      <c r="S5" s="12" t="n"/>
      <c r="T5" s="10" t="inlineStr">
        <is>
          <t>https://agupubs.onlinelibrary.wiley.com/doi/full/10.1029/2020GL088456</t>
        </is>
      </c>
      <c r="U5" s="10" t="inlineStr">
        <is>
          <t>NASA POWER 2001-2020 (MERRA-2); ASTER GDEM via OpenTopoData</t>
        </is>
      </c>
    </row>
    <row r="6">
      <c r="A6" s="10" t="inlineStr">
        <is>
          <t>mdrs-hanksville</t>
        </is>
      </c>
      <c r="B6" s="10" t="inlineStr">
        <is>
          <t>Mars Desert Research Station area, Hanksville</t>
        </is>
      </c>
      <c r="C6" s="10" t="inlineStr">
        <is>
          <t>Earth</t>
        </is>
      </c>
      <c r="D6" s="10" t="inlineStr">
        <is>
          <t>Mars</t>
        </is>
      </c>
      <c r="E6" s="10" t="inlineStr">
        <is>
          <t>USA (Utah)</t>
        </is>
      </c>
      <c r="F6" s="11" t="n">
        <v>38.4064</v>
      </c>
      <c r="G6" s="11" t="n">
        <v>-110.7919</v>
      </c>
      <c r="H6" s="12" t="n"/>
      <c r="I6" s="13" t="n">
        <v>11.75</v>
      </c>
      <c r="J6" s="13" t="n">
        <v>13.64</v>
      </c>
      <c r="K6" s="10" t="n">
        <v>0.66</v>
      </c>
      <c r="L6" s="10">
        <f>ROUND(K6*365,0)</f>
        <v/>
      </c>
      <c r="M6" s="10" t="n">
        <v>1660</v>
      </c>
      <c r="N6" s="10" t="n">
        <v>1375</v>
      </c>
      <c r="O6" s="13" t="n">
        <v>3.5</v>
      </c>
      <c r="P6" s="10" t="n">
        <v>46</v>
      </c>
      <c r="Q6" s="10" t="inlineStr">
        <is>
          <t>Layered clay and sandstone</t>
        </is>
      </c>
      <c r="R6" s="12" t="n"/>
      <c r="S6" s="12" t="n"/>
      <c r="T6" s="10" t="inlineStr">
        <is>
          <t>https://www.lpi.usra.edu/meetings/analogues2011/pdf/6029.pdf</t>
        </is>
      </c>
      <c r="U6" s="10" t="inlineStr">
        <is>
          <t>NASA POWER 2001-2020 (MERRA-2); ASTER GDEM via OpenTopoData</t>
        </is>
      </c>
    </row>
    <row r="7">
      <c r="A7" s="10" t="inlineStr">
        <is>
          <t>wadi-rum</t>
        </is>
      </c>
      <c r="B7" s="10" t="inlineStr">
        <is>
          <t>Wadi Rum</t>
        </is>
      </c>
      <c r="C7" s="10" t="inlineStr">
        <is>
          <t>Earth</t>
        </is>
      </c>
      <c r="D7" s="10" t="inlineStr">
        <is>
          <t>Mars</t>
        </is>
      </c>
      <c r="E7" s="10" t="inlineStr">
        <is>
          <t>Jordan</t>
        </is>
      </c>
      <c r="F7" s="11" t="n">
        <v>29.57</v>
      </c>
      <c r="G7" s="11" t="n">
        <v>35.42</v>
      </c>
      <c r="H7" s="12" t="n"/>
      <c r="I7" s="13" t="n">
        <v>18.12</v>
      </c>
      <c r="J7" s="13" t="n">
        <v>16.16</v>
      </c>
      <c r="K7" s="10" t="n">
        <v>0.11</v>
      </c>
      <c r="L7" s="10">
        <f>ROUND(K7*365,0)</f>
        <v/>
      </c>
      <c r="M7" s="10" t="n">
        <v>1076</v>
      </c>
      <c r="N7" s="10" t="n">
        <v>944</v>
      </c>
      <c r="O7" s="13" t="n">
        <v>5.6</v>
      </c>
      <c r="P7" s="10" t="n">
        <v>94</v>
      </c>
      <c r="Q7" s="10" t="inlineStr">
        <is>
          <t>Red sandstone, sand</t>
        </is>
      </c>
      <c r="R7" s="12" t="n"/>
      <c r="S7" s="12" t="n"/>
      <c r="T7" s="10" t="inlineStr">
        <is>
          <t>https://science.nasa.gov/earth/earth-observatory/wadi-rum-jordan-49945/</t>
        </is>
      </c>
      <c r="U7" s="10" t="inlineStr">
        <is>
          <t>NASA POWER 2001-2020 (MERRA-2); ASTER GDEM via OpenTopoData</t>
        </is>
      </c>
    </row>
    <row r="8">
      <c r="A8" s="10" t="inlineStr">
        <is>
          <t>green-river</t>
        </is>
      </c>
      <c r="B8" s="10" t="inlineStr">
        <is>
          <t>Exhumed paleochannels near Green River</t>
        </is>
      </c>
      <c r="C8" s="10" t="inlineStr">
        <is>
          <t>Earth</t>
        </is>
      </c>
      <c r="D8" s="10" t="inlineStr">
        <is>
          <t>Mars</t>
        </is>
      </c>
      <c r="E8" s="10" t="inlineStr">
        <is>
          <t>USA (Utah)</t>
        </is>
      </c>
      <c r="F8" s="11" t="n">
        <v>38.93</v>
      </c>
      <c r="G8" s="11" t="n">
        <v>-110.24</v>
      </c>
      <c r="H8" s="12" t="n"/>
      <c r="I8" s="13" t="n">
        <v>11.7</v>
      </c>
      <c r="J8" s="13" t="n">
        <v>13.73</v>
      </c>
      <c r="K8" s="10" t="n">
        <v>0.64</v>
      </c>
      <c r="L8" s="10">
        <f>ROUND(K8*365,0)</f>
        <v/>
      </c>
      <c r="M8" s="10" t="n">
        <v>1634</v>
      </c>
      <c r="N8" s="10" t="n">
        <v>1280</v>
      </c>
      <c r="O8" s="13" t="n">
        <v>0.4</v>
      </c>
      <c r="P8" s="10" t="n">
        <v>9</v>
      </c>
      <c r="Q8" s="10" t="inlineStr">
        <is>
          <t>Cemented channel sandstone (inverted channels)</t>
        </is>
      </c>
      <c r="R8" s="12" t="n"/>
      <c r="S8" s="12" t="n"/>
      <c r="T8" s="10" t="inlineStr">
        <is>
          <t>https://pubs.geoscienceworld.org/gsa/books/edited-volume/645/chapter/3807016/Field-guide-to-exhumed-paleochannels-near-Green</t>
        </is>
      </c>
      <c r="U8" s="10" t="inlineStr">
        <is>
          <t>NASA POWER 2001-2020 (MERRA-2); ASTER GDEM via OpenTopoData</t>
        </is>
      </c>
    </row>
    <row r="9">
      <c r="A9" s="10" t="inlineStr">
        <is>
          <t>qaidam</t>
        </is>
      </c>
      <c r="B9" s="10" t="inlineStr">
        <is>
          <t>Western Qaidam Basin (yardangs, Dalangtan playa)</t>
        </is>
      </c>
      <c r="C9" s="10" t="inlineStr">
        <is>
          <t>Earth</t>
        </is>
      </c>
      <c r="D9" s="10" t="inlineStr">
        <is>
          <t>Mars</t>
        </is>
      </c>
      <c r="E9" s="10" t="inlineStr">
        <is>
          <t>China</t>
        </is>
      </c>
      <c r="F9" s="11" t="n">
        <v>38.3</v>
      </c>
      <c r="G9" s="11" t="n">
        <v>92.3</v>
      </c>
      <c r="H9" s="12" t="n"/>
      <c r="I9" s="13" t="n">
        <v>4.17</v>
      </c>
      <c r="J9" s="13" t="n">
        <v>13.49</v>
      </c>
      <c r="K9" s="10" t="n">
        <v>0.09</v>
      </c>
      <c r="L9" s="10">
        <f>ROUND(K9*365,0)</f>
        <v/>
      </c>
      <c r="M9" s="10" t="n">
        <v>2741</v>
      </c>
      <c r="N9" s="10" t="n">
        <v>2733</v>
      </c>
      <c r="O9" s="13" t="n">
        <v>3.4</v>
      </c>
      <c r="P9" s="10" t="n">
        <v>43</v>
      </c>
      <c r="Q9" s="10" t="inlineStr">
        <is>
          <t>Playa sediments and salts; yardangs</t>
        </is>
      </c>
      <c r="R9" s="12" t="n"/>
      <c r="S9" s="12" t="n"/>
      <c r="T9" s="10" t="inlineStr">
        <is>
          <t>https://www.sciencedirect.com/science/article/abs/pii/S001282521630174X</t>
        </is>
      </c>
      <c r="U9" s="10" t="inlineStr">
        <is>
          <t>NASA POWER 2001-2020 (MERRA-2); ASTER GDEM via OpenTopoData</t>
        </is>
      </c>
    </row>
    <row r="10">
      <c r="A10" s="10" t="inlineStr">
        <is>
          <t>channeled-scablands</t>
        </is>
      </c>
      <c r="B10" s="10" t="inlineStr">
        <is>
          <t>Channeled Scablands (Dry Falls)</t>
        </is>
      </c>
      <c r="C10" s="10" t="inlineStr">
        <is>
          <t>Earth</t>
        </is>
      </c>
      <c r="D10" s="10" t="inlineStr">
        <is>
          <t>Mars</t>
        </is>
      </c>
      <c r="E10" s="10" t="inlineStr">
        <is>
          <t>USA (Washington)</t>
        </is>
      </c>
      <c r="F10" s="11" t="n">
        <v>47.607</v>
      </c>
      <c r="G10" s="11" t="n">
        <v>-119.364</v>
      </c>
      <c r="H10" s="12" t="n"/>
      <c r="I10" s="13" t="n">
        <v>9.68</v>
      </c>
      <c r="J10" s="13" t="n">
        <v>11.58</v>
      </c>
      <c r="K10" s="10" t="n">
        <v>0.85</v>
      </c>
      <c r="L10" s="10">
        <f>ROUND(K10*365,0)</f>
        <v/>
      </c>
      <c r="M10" s="10" t="n">
        <v>548</v>
      </c>
      <c r="N10" s="10" t="n">
        <v>475</v>
      </c>
      <c r="O10" s="13" t="n">
        <v>12.8</v>
      </c>
      <c r="P10" s="10" t="n">
        <v>138</v>
      </c>
      <c r="Q10" s="10" t="inlineStr">
        <is>
          <t>Flood-scoured bedrock</t>
        </is>
      </c>
      <c r="R10" s="12" t="n"/>
      <c r="S10" s="12" t="n"/>
      <c r="T10" s="10" t="inlineStr">
        <is>
          <t>https://www.gps.caltech.edu/~mpl/Ge121a_Scablands/Ge121a.htm</t>
        </is>
      </c>
      <c r="U10" s="10" t="inlineStr">
        <is>
          <t>NASA POWER 2001-2020 (MERRA-2); ASTER GDEM via OpenTopoData</t>
        </is>
      </c>
    </row>
    <row r="11">
      <c r="A11" s="10" t="inlineStr">
        <is>
          <t>tuktoyaktuk</t>
        </is>
      </c>
      <c r="B11" s="10" t="inlineStr">
        <is>
          <t>Tuktoyaktuk pingos (Ibyuk)</t>
        </is>
      </c>
      <c r="C11" s="10" t="inlineStr">
        <is>
          <t>Earth</t>
        </is>
      </c>
      <c r="D11" s="10" t="inlineStr">
        <is>
          <t>Mars</t>
        </is>
      </c>
      <c r="E11" s="10" t="inlineStr">
        <is>
          <t>Canada (Northwest Territories)</t>
        </is>
      </c>
      <c r="F11" s="11" t="n">
        <v>69.40000000000001</v>
      </c>
      <c r="G11" s="11" t="n">
        <v>-133.08</v>
      </c>
      <c r="H11" s="12" t="n"/>
      <c r="I11" s="13" t="n">
        <v>-8.359999999999999</v>
      </c>
      <c r="J11" s="13" t="n">
        <v>5.24</v>
      </c>
      <c r="K11" s="10" t="n">
        <v>0.84</v>
      </c>
      <c r="L11" s="10">
        <f>ROUND(K11*365,0)</f>
        <v/>
      </c>
      <c r="M11" s="10" t="n">
        <v>13</v>
      </c>
      <c r="N11" s="10" t="n">
        <v>14</v>
      </c>
      <c r="O11" s="13" t="n"/>
      <c r="P11" s="10" t="n"/>
      <c r="Q11" s="10" t="inlineStr">
        <is>
          <t>Ice-cored permafrost mounds</t>
        </is>
      </c>
      <c r="R11" s="12" t="n"/>
      <c r="S11" s="10" t="inlineStr">
        <is>
          <t>DEM: Coordinates fall on water near the coast: slope and relief not measured.</t>
        </is>
      </c>
      <c r="T11" s="10" t="inlineStr">
        <is>
          <t>https://www.usgs.gov/publications/possible-pingos-and-a-periglacial-landscape-northwest-utopia-planitia</t>
        </is>
      </c>
      <c r="U11" s="10" t="inlineStr">
        <is>
          <t>NASA POWER 2001-2020 (MERRA-2); ASTER GDEM via OpenTopoData</t>
        </is>
      </c>
    </row>
    <row r="12">
      <c r="A12" s="10" t="inlineStr">
        <is>
          <t>garwood-valley</t>
        </is>
      </c>
      <c r="B12" s="10" t="inlineStr">
        <is>
          <t>Garwood Valley gullies, McMurdo Dry Valleys</t>
        </is>
      </c>
      <c r="C12" s="10" t="inlineStr">
        <is>
          <t>Earth</t>
        </is>
      </c>
      <c r="D12" s="10" t="inlineStr">
        <is>
          <t>Mars</t>
        </is>
      </c>
      <c r="E12" s="10" t="inlineStr">
        <is>
          <t>Antarctica</t>
        </is>
      </c>
      <c r="F12" s="11" t="n">
        <v>-78.02</v>
      </c>
      <c r="G12" s="11" t="n">
        <v>164.13</v>
      </c>
      <c r="H12" s="12" t="n"/>
      <c r="I12" s="13" t="n">
        <v>-25.14</v>
      </c>
      <c r="J12" s="13" t="n">
        <v>5.18</v>
      </c>
      <c r="K12" s="10" t="n">
        <v>0.24</v>
      </c>
      <c r="L12" s="10">
        <f>ROUND(K12*365,0)</f>
        <v/>
      </c>
      <c r="M12" s="10" t="n">
        <v>650</v>
      </c>
      <c r="N12" s="10" t="n">
        <v>78</v>
      </c>
      <c r="O12" s="13" t="n">
        <v>6.5</v>
      </c>
      <c r="P12" s="10" t="n">
        <v>103</v>
      </c>
      <c r="Q12" s="10" t="inlineStr">
        <is>
          <t>Buried ground ice</t>
        </is>
      </c>
      <c r="R12" s="12" t="n"/>
      <c r="S12" s="12" t="n"/>
      <c r="T12" s="10" t="inlineStr">
        <is>
          <t>https://www.lpi.usra.edu/meetings/lpsc2011/pdf/1432.pdf</t>
        </is>
      </c>
      <c r="U12" s="10" t="inlineStr">
        <is>
          <t>NASA POWER 2001-2020 (MERRA-2); ASTER GDEM via OpenTopoData</t>
        </is>
      </c>
    </row>
    <row r="13">
      <c r="A13" s="10" t="inlineStr">
        <is>
          <t>taylor-valley</t>
        </is>
      </c>
      <c r="B13" s="10" t="inlineStr">
        <is>
          <t>Taylor Valley water tracks, McMurdo Dry Valleys</t>
        </is>
      </c>
      <c r="C13" s="10" t="inlineStr">
        <is>
          <t>Earth</t>
        </is>
      </c>
      <c r="D13" s="10" t="inlineStr">
        <is>
          <t>Mars</t>
        </is>
      </c>
      <c r="E13" s="10" t="inlineStr">
        <is>
          <t>Antarctica</t>
        </is>
      </c>
      <c r="F13" s="11" t="n">
        <v>-77.62</v>
      </c>
      <c r="G13" s="11" t="n">
        <v>163</v>
      </c>
      <c r="H13" s="12" t="n"/>
      <c r="I13" s="13" t="n">
        <v>-21.88</v>
      </c>
      <c r="J13" s="13" t="n">
        <v>5.07</v>
      </c>
      <c r="K13" s="10" t="n">
        <v>0.18</v>
      </c>
      <c r="L13" s="10">
        <f>ROUND(K13*365,0)</f>
        <v/>
      </c>
      <c r="M13" s="10" t="n">
        <v>583</v>
      </c>
      <c r="N13" s="10" t="n">
        <v>198</v>
      </c>
      <c r="O13" s="13" t="n">
        <v>5</v>
      </c>
      <c r="P13" s="10" t="n">
        <v>69</v>
      </c>
      <c r="Q13" s="10" t="inlineStr">
        <is>
          <t>Permafrost soils with water tracks</t>
        </is>
      </c>
      <c r="R13" s="12" t="n"/>
      <c r="S13" s="12" t="n"/>
      <c r="T13" s="10" t="inlineStr">
        <is>
          <t>https://agupubs.onlinelibrary.wiley.com/doi/full/10.1029/2018RG000617</t>
        </is>
      </c>
      <c r="U13" s="10" t="inlineStr">
        <is>
          <t>NASA POWER 2001-2020 (MERRA-2); ASTER GDEM via OpenTopoData</t>
        </is>
      </c>
    </row>
    <row r="14">
      <c r="A14" s="10" t="inlineStr">
        <is>
          <t>blackhawk</t>
        </is>
      </c>
      <c r="B14" s="10" t="inlineStr">
        <is>
          <t>Blackhawk Landslide, Lucerne Valley</t>
        </is>
      </c>
      <c r="C14" s="10" t="inlineStr">
        <is>
          <t>Earth</t>
        </is>
      </c>
      <c r="D14" s="10" t="inlineStr">
        <is>
          <t>Mars</t>
        </is>
      </c>
      <c r="E14" s="10" t="inlineStr">
        <is>
          <t>USA (California)</t>
        </is>
      </c>
      <c r="F14" s="11" t="n">
        <v>34.36</v>
      </c>
      <c r="G14" s="11" t="n">
        <v>-116.8</v>
      </c>
      <c r="H14" s="12" t="n"/>
      <c r="I14" s="13" t="n">
        <v>16.14</v>
      </c>
      <c r="J14" s="13" t="n">
        <v>15</v>
      </c>
      <c r="K14" s="10" t="n">
        <v>0.45</v>
      </c>
      <c r="L14" s="10">
        <f>ROUND(K14*365,0)</f>
        <v/>
      </c>
      <c r="M14" s="10" t="n">
        <v>1116</v>
      </c>
      <c r="N14" s="10" t="n">
        <v>1361</v>
      </c>
      <c r="O14" s="13" t="n">
        <v>12.2</v>
      </c>
      <c r="P14" s="10" t="n">
        <v>171</v>
      </c>
      <c r="Q14" s="10" t="inlineStr">
        <is>
          <t>Rock-avalanche debris</t>
        </is>
      </c>
      <c r="R14" s="12" t="n"/>
      <c r="S14" s="12" t="n"/>
      <c r="T14" s="10" t="inlineStr">
        <is>
          <t>https://www.jpl.nasa.gov/images/pia21008-blackhawk-landslide-california/</t>
        </is>
      </c>
      <c r="U14" s="10" t="inlineStr">
        <is>
          <t>NASA POWER 2001-2020 (MERRA-2); ASTER GDEM via OpenTopoData</t>
        </is>
      </c>
    </row>
    <row r="15">
      <c r="A15" s="10" t="inlineStr">
        <is>
          <t>meteor-crater</t>
        </is>
      </c>
      <c r="B15" s="10" t="inlineStr">
        <is>
          <t>Meteor Crater (Barringer)</t>
        </is>
      </c>
      <c r="C15" s="10" t="inlineStr">
        <is>
          <t>Earth</t>
        </is>
      </c>
      <c r="D15" s="10" t="inlineStr">
        <is>
          <t>Mars</t>
        </is>
      </c>
      <c r="E15" s="10" t="inlineStr">
        <is>
          <t>USA (Arizona)</t>
        </is>
      </c>
      <c r="F15" s="11" t="n">
        <v>35.0275</v>
      </c>
      <c r="G15" s="11" t="n">
        <v>-111.0225</v>
      </c>
      <c r="H15" s="12" t="n"/>
      <c r="I15" s="13" t="n">
        <v>11.36</v>
      </c>
      <c r="J15" s="13" t="n">
        <v>14.49</v>
      </c>
      <c r="K15" s="10" t="n">
        <v>1.14</v>
      </c>
      <c r="L15" s="10">
        <f>ROUND(K15*365,0)</f>
        <v/>
      </c>
      <c r="M15" s="10" t="n">
        <v>1915</v>
      </c>
      <c r="N15" s="10" t="n">
        <v>1561</v>
      </c>
      <c r="O15" s="13" t="n">
        <v>1.7</v>
      </c>
      <c r="P15" s="10" t="n">
        <v>75</v>
      </c>
      <c r="Q15" s="10" t="inlineStr">
        <is>
          <t>Simple impact crater</t>
        </is>
      </c>
      <c r="R15" s="12" t="n"/>
      <c r="S15" s="12" t="n"/>
      <c r="T15" s="10" t="inlineStr">
        <is>
          <t>https://www.usgs.gov/science/science-explorer/planetary-science/terrestrial-analogs</t>
        </is>
      </c>
      <c r="U15" s="10" t="inlineStr">
        <is>
          <t>NASA POWER 2001-2020 (MERRA-2); ASTER GDEM via OpenTopoData</t>
        </is>
      </c>
    </row>
    <row r="16">
      <c r="A16" s="10" t="inlineStr">
        <is>
          <t>haughton</t>
        </is>
      </c>
      <c r="B16" s="10" t="inlineStr">
        <is>
          <t>Haughton impact crater, Devon Island</t>
        </is>
      </c>
      <c r="C16" s="10" t="inlineStr">
        <is>
          <t>Earth</t>
        </is>
      </c>
      <c r="D16" s="10" t="inlineStr">
        <is>
          <t>Mars</t>
        </is>
      </c>
      <c r="E16" s="10" t="inlineStr">
        <is>
          <t>Canada (Nunavut)</t>
        </is>
      </c>
      <c r="F16" s="11" t="n">
        <v>75.367</v>
      </c>
      <c r="G16" s="11" t="n">
        <v>-89.68300000000001</v>
      </c>
      <c r="H16" s="12" t="n"/>
      <c r="I16" s="13" t="n">
        <v>-14.42</v>
      </c>
      <c r="J16" s="13" t="n">
        <v>4.64</v>
      </c>
      <c r="K16" s="10" t="n">
        <v>0.85</v>
      </c>
      <c r="L16" s="10">
        <f>ROUND(K16*365,0)</f>
        <v/>
      </c>
      <c r="M16" s="10" t="n">
        <v>173</v>
      </c>
      <c r="N16" s="10" t="n">
        <v>140</v>
      </c>
      <c r="O16" s="13" t="n">
        <v>0.9</v>
      </c>
      <c r="P16" s="10" t="n">
        <v>30</v>
      </c>
      <c r="Q16" s="10" t="inlineStr">
        <is>
          <t>Impact structure in polar desert</t>
        </is>
      </c>
      <c r="R16" s="12" t="n"/>
      <c r="S16" s="12" t="n"/>
      <c r="T16" s="10" t="inlineStr">
        <is>
          <t>https://www.marsinstitute.no/hmp</t>
        </is>
      </c>
      <c r="U16" s="10" t="inlineStr">
        <is>
          <t>NASA POWER 2001-2020 (MERRA-2); ASTER GDEM via OpenTopoData</t>
        </is>
      </c>
    </row>
    <row r="17">
      <c r="A17" s="10" t="inlineStr">
        <is>
          <t>lonar</t>
        </is>
      </c>
      <c r="B17" s="10" t="inlineStr">
        <is>
          <t>Lonar crater</t>
        </is>
      </c>
      <c r="C17" s="10" t="inlineStr">
        <is>
          <t>Earth</t>
        </is>
      </c>
      <c r="D17" s="10" t="inlineStr">
        <is>
          <t>Mars</t>
        </is>
      </c>
      <c r="E17" s="10" t="inlineStr">
        <is>
          <t>India</t>
        </is>
      </c>
      <c r="F17" s="11" t="n">
        <v>19.976</v>
      </c>
      <c r="G17" s="11" t="n">
        <v>76.508</v>
      </c>
      <c r="H17" s="12" t="n"/>
      <c r="I17" s="13" t="n">
        <v>25.96</v>
      </c>
      <c r="J17" s="13" t="n">
        <v>13.12</v>
      </c>
      <c r="K17" s="10" t="n">
        <v>2.31</v>
      </c>
      <c r="L17" s="10">
        <f>ROUND(K17*365,0)</f>
        <v/>
      </c>
      <c r="M17" s="10" t="n">
        <v>530</v>
      </c>
      <c r="N17" s="10" t="n">
        <v>477</v>
      </c>
      <c r="O17" s="13" t="n"/>
      <c r="P17" s="10" t="n"/>
      <c r="Q17" s="10" t="inlineStr">
        <is>
          <t>Basalt (impact crater)</t>
        </is>
      </c>
      <c r="R17" s="12" t="n"/>
      <c r="S17" s="10" t="inlineStr">
        <is>
          <t>DEM: Coordinates fall on the crater lake: slope and relief not measured.</t>
        </is>
      </c>
      <c r="T17" s="10" t="inlineStr">
        <is>
          <t>https://agupubs.onlinelibrary.wiley.com/doi/full/10.1029/2020JE006593</t>
        </is>
      </c>
      <c r="U17" s="10" t="inlineStr">
        <is>
          <t>NASA POWER 2001-2020 (MERRA-2); ASTER GDEM via OpenTopoData</t>
        </is>
      </c>
    </row>
    <row r="18">
      <c r="A18" s="10" t="inlineStr">
        <is>
          <t>henbury</t>
        </is>
      </c>
      <c r="B18" s="10" t="inlineStr">
        <is>
          <t>Henbury crater field</t>
        </is>
      </c>
      <c r="C18" s="10" t="inlineStr">
        <is>
          <t>Earth</t>
        </is>
      </c>
      <c r="D18" s="10" t="inlineStr">
        <is>
          <t>Mars</t>
        </is>
      </c>
      <c r="E18" s="10" t="inlineStr">
        <is>
          <t>Australia (Northern Territory)</t>
        </is>
      </c>
      <c r="F18" s="11" t="n">
        <v>-24.573</v>
      </c>
      <c r="G18" s="11" t="n">
        <v>133.148</v>
      </c>
      <c r="H18" s="12" t="n"/>
      <c r="I18" s="13" t="n">
        <v>22.54</v>
      </c>
      <c r="J18" s="13" t="n">
        <v>15.72</v>
      </c>
      <c r="K18" s="10" t="n">
        <v>0.65</v>
      </c>
      <c r="L18" s="10">
        <f>ROUND(K18*365,0)</f>
        <v/>
      </c>
      <c r="M18" s="10" t="n">
        <v>500</v>
      </c>
      <c r="N18" s="10" t="n">
        <v>462</v>
      </c>
      <c r="O18" s="13" t="n">
        <v>2.4</v>
      </c>
      <c r="P18" s="10" t="n">
        <v>35</v>
      </c>
      <c r="Q18" s="10" t="inlineStr">
        <is>
          <t>Small impact craters (iron meteoroid)</t>
        </is>
      </c>
      <c r="R18" s="12" t="n"/>
      <c r="S18" s="12" t="n"/>
      <c r="T18" s="10" t="inlineStr">
        <is>
          <t>https://www.unsw.edu.au/content/dam/pdfs/science/aca/research-reports/2022-01-aca-research/2022-01-West,%20Clarke,%20Thomas,%20Walter%20and%20Pain%20%202010%20_0.pdf</t>
        </is>
      </c>
      <c r="U18" s="10" t="inlineStr">
        <is>
          <t>NASA POWER 2001-2020 (MERRA-2); ASTER GDEM via OpenTopoData</t>
        </is>
      </c>
    </row>
    <row r="19">
      <c r="A19" s="10" t="inlineStr">
        <is>
          <t>atacama-yungay</t>
        </is>
      </c>
      <c r="B19" s="10" t="inlineStr">
        <is>
          <t>Yungay, Atacama Desert hyperarid core</t>
        </is>
      </c>
      <c r="C19" s="10" t="inlineStr">
        <is>
          <t>Earth</t>
        </is>
      </c>
      <c r="D19" s="10" t="inlineStr">
        <is>
          <t>Mars</t>
        </is>
      </c>
      <c r="E19" s="10" t="inlineStr">
        <is>
          <t>Chile</t>
        </is>
      </c>
      <c r="F19" s="11" t="n">
        <v>-24.08</v>
      </c>
      <c r="G19" s="11" t="n">
        <v>-70.01000000000001</v>
      </c>
      <c r="H19" s="12" t="n"/>
      <c r="I19" s="13" t="n">
        <v>17.07</v>
      </c>
      <c r="J19" s="13" t="n">
        <v>14.74</v>
      </c>
      <c r="K19" s="10" t="n">
        <v>0.02</v>
      </c>
      <c r="L19" s="10">
        <f>ROUND(K19*365,0)</f>
        <v/>
      </c>
      <c r="M19" s="10" t="n">
        <v>1261</v>
      </c>
      <c r="N19" s="10" t="n">
        <v>1061</v>
      </c>
      <c r="O19" s="13" t="n">
        <v>2.5</v>
      </c>
      <c r="P19" s="10" t="n">
        <v>52</v>
      </c>
      <c r="Q19" s="10" t="inlineStr">
        <is>
          <t>Nitrate/perchlorate-bearing soil</t>
        </is>
      </c>
      <c r="R19" s="12" t="n"/>
      <c r="S19" s="12" t="n"/>
      <c r="T19" s="10" t="inlineStr">
        <is>
          <t>https://www.nature.com/articles/s41598-020-76302-z</t>
        </is>
      </c>
      <c r="U19" s="10" t="inlineStr">
        <is>
          <t>NASA POWER 2001-2020 (MERRA-2); ASTER GDEM via OpenTopoData</t>
        </is>
      </c>
    </row>
    <row r="20">
      <c r="A20" s="10" t="inlineStr">
        <is>
          <t>salar-de-uyuni</t>
        </is>
      </c>
      <c r="B20" s="10" t="inlineStr">
        <is>
          <t>Salar de Uyuni</t>
        </is>
      </c>
      <c r="C20" s="10" t="inlineStr">
        <is>
          <t>Earth</t>
        </is>
      </c>
      <c r="D20" s="10" t="inlineStr">
        <is>
          <t>Mars</t>
        </is>
      </c>
      <c r="E20" s="10" t="inlineStr">
        <is>
          <t>Bolivia</t>
        </is>
      </c>
      <c r="F20" s="11" t="n">
        <v>-20.13</v>
      </c>
      <c r="G20" s="11" t="n">
        <v>-67.48999999999999</v>
      </c>
      <c r="H20" s="12" t="n"/>
      <c r="I20" s="13" t="n">
        <v>7.48</v>
      </c>
      <c r="J20" s="13" t="n">
        <v>16.59</v>
      </c>
      <c r="K20" s="10" t="n">
        <v>0.91</v>
      </c>
      <c r="L20" s="10">
        <f>ROUND(K20*365,0)</f>
        <v/>
      </c>
      <c r="M20" s="10" t="n">
        <v>3692</v>
      </c>
      <c r="N20" s="10" t="n">
        <v>3660</v>
      </c>
      <c r="O20" s="13" t="n">
        <v>0.8</v>
      </c>
      <c r="P20" s="10" t="n">
        <v>23</v>
      </c>
      <c r="Q20" s="10" t="inlineStr">
        <is>
          <t>Salt crust</t>
        </is>
      </c>
      <c r="R20" s="12" t="n"/>
      <c r="S20" s="10" t="inlineStr">
        <is>
          <t>DEM: Salt flat: the small slope is within DEM noise.</t>
        </is>
      </c>
      <c r="T20" s="10" t="inlineStr">
        <is>
          <t>https://earthobservatory.nasa.gov/images/151813/bolivian-salt-flats</t>
        </is>
      </c>
      <c r="U20" s="10" t="inlineStr">
        <is>
          <t>NASA POWER 2001-2020 (MERRA-2); ASTER GDEM via OpenTopoData</t>
        </is>
      </c>
    </row>
    <row r="21">
      <c r="A21" s="10" t="inlineStr">
        <is>
          <t>holuhraun</t>
        </is>
      </c>
      <c r="B21" s="10" t="inlineStr">
        <is>
          <t>Holuhraun lava flow-field</t>
        </is>
      </c>
      <c r="C21" s="10" t="inlineStr">
        <is>
          <t>Earth</t>
        </is>
      </c>
      <c r="D21" s="10" t="inlineStr">
        <is>
          <t>Mars</t>
        </is>
      </c>
      <c r="E21" s="10" t="inlineStr">
        <is>
          <t>Iceland</t>
        </is>
      </c>
      <c r="F21" s="11" t="n">
        <v>64.87</v>
      </c>
      <c r="G21" s="11" t="n">
        <v>-16.83</v>
      </c>
      <c r="H21" s="12" t="n"/>
      <c r="I21" s="13" t="n">
        <v>-2.84</v>
      </c>
      <c r="J21" s="13" t="n">
        <v>4.1</v>
      </c>
      <c r="K21" s="10" t="n">
        <v>2.36</v>
      </c>
      <c r="L21" s="10">
        <f>ROUND(K21*365,0)</f>
        <v/>
      </c>
      <c r="M21" s="10" t="n">
        <v>802</v>
      </c>
      <c r="N21" s="10" t="n">
        <v>734</v>
      </c>
      <c r="O21" s="13" t="n">
        <v>1.1</v>
      </c>
      <c r="P21" s="10" t="n">
        <v>15</v>
      </c>
      <c r="Q21" s="10" t="inlineStr">
        <is>
          <t>Fresh rubbly and spiny lava</t>
        </is>
      </c>
      <c r="R21" s="12" t="n"/>
      <c r="S21" s="12" t="n"/>
      <c r="T21" s="10" t="inlineStr">
        <is>
          <t>https://iopscience.iop.org/article/10.3847/PSJ/adb5f1</t>
        </is>
      </c>
      <c r="U21" s="10" t="inlineStr">
        <is>
          <t>NASA POWER 2001-2020 (MERRA-2); ASTER GDEM via OpenTopoData</t>
        </is>
      </c>
    </row>
    <row r="22">
      <c r="A22" s="10" t="inlineStr">
        <is>
          <t>beacon-valley</t>
        </is>
      </c>
      <c r="B22" s="10" t="inlineStr">
        <is>
          <t>Beacon Valley sublimation polygons</t>
        </is>
      </c>
      <c r="C22" s="10" t="inlineStr">
        <is>
          <t>Earth</t>
        </is>
      </c>
      <c r="D22" s="10" t="inlineStr">
        <is>
          <t>Mars</t>
        </is>
      </c>
      <c r="E22" s="10" t="inlineStr">
        <is>
          <t>Antarctica</t>
        </is>
      </c>
      <c r="F22" s="11" t="n">
        <v>-77.83</v>
      </c>
      <c r="G22" s="11" t="n">
        <v>160.6</v>
      </c>
      <c r="H22" s="12" t="n"/>
      <c r="I22" s="13" t="n">
        <v>-33.67</v>
      </c>
      <c r="J22" s="13" t="n">
        <v>5.72</v>
      </c>
      <c r="K22" s="10" t="n">
        <v>0.39</v>
      </c>
      <c r="L22" s="10">
        <f>ROUND(K22*365,0)</f>
        <v/>
      </c>
      <c r="M22" s="10" t="n">
        <v>1710</v>
      </c>
      <c r="N22" s="10" t="n">
        <v>1332</v>
      </c>
      <c r="O22" s="13" t="n">
        <v>22.5</v>
      </c>
      <c r="P22" s="10" t="n">
        <v>417</v>
      </c>
      <c r="Q22" s="10" t="inlineStr">
        <is>
          <t>Buried ice; polygonal ground</t>
        </is>
      </c>
      <c r="R22" s="12" t="n"/>
      <c r="S22" s="12" t="n"/>
      <c r="T22" s="10" t="inlineStr">
        <is>
          <t>https://www.hou.usra.edu/meetings/marspolar2024/pdf/6062.pdf</t>
        </is>
      </c>
      <c r="U22" s="10" t="inlineStr">
        <is>
          <t>NASA POWER 2001-2020 (MERRA-2); ASTER GDEM via OpenTopoData</t>
        </is>
      </c>
    </row>
    <row r="23">
      <c r="A23" s="10" t="inlineStr">
        <is>
          <t>mistastin</t>
        </is>
      </c>
      <c r="B23" s="10" t="inlineStr">
        <is>
          <t>Mistastin Lake impact structure</t>
        </is>
      </c>
      <c r="C23" s="10" t="inlineStr">
        <is>
          <t>Earth</t>
        </is>
      </c>
      <c r="D23" s="10" t="inlineStr">
        <is>
          <t>Moon</t>
        </is>
      </c>
      <c r="E23" s="10" t="inlineStr">
        <is>
          <t>Canada (Labrador)</t>
        </is>
      </c>
      <c r="F23" s="11" t="n">
        <v>55.88</v>
      </c>
      <c r="G23" s="11" t="n">
        <v>-63.3</v>
      </c>
      <c r="H23" s="10" t="inlineStr">
        <is>
          <t>Astronaut training (field geology)</t>
        </is>
      </c>
      <c r="I23" s="13" t="n">
        <v>-5.86</v>
      </c>
      <c r="J23" s="13" t="n">
        <v>8.390000000000001</v>
      </c>
      <c r="K23" s="10" t="n">
        <v>2.6</v>
      </c>
      <c r="L23" s="10">
        <f>ROUND(K23*365,0)</f>
        <v/>
      </c>
      <c r="M23" s="10" t="n">
        <v>427</v>
      </c>
      <c r="N23" s="10" t="n">
        <v>326</v>
      </c>
      <c r="O23" s="13" t="n"/>
      <c r="P23" s="10" t="n"/>
      <c r="Q23" s="10" t="inlineStr">
        <is>
          <t>Anorthosite, granodiorite, mangerite; impact melt</t>
        </is>
      </c>
      <c r="R23" s="12" t="n"/>
      <c r="S23" s="10" t="inlineStr">
        <is>
          <t>Analog for lunar highland craters. Rock types: craterexplorer.ca. Coordinates: approximate area centre. DEM: Coordinates fall on Mistastin Lake: slope and relief not measured.</t>
        </is>
      </c>
      <c r="T23" s="10" t="inlineStr">
        <is>
          <t>https://www.researchgate.net/publication/241208537_Mistastin_Impact_Structure_Labrador_A_Geological_Analogue_for_Lunar_Highland_Craters</t>
        </is>
      </c>
      <c r="U23" s="10" t="inlineStr">
        <is>
          <t>NASA POWER 2001-2020 (MERRA-2); ASTER GDEM via OpenTopoData</t>
        </is>
      </c>
    </row>
    <row r="24">
      <c r="A24" s="10" t="inlineStr">
        <is>
          <t>ries</t>
        </is>
      </c>
      <c r="B24" s="10" t="inlineStr">
        <is>
          <t>Nördlinger Ries crater</t>
        </is>
      </c>
      <c r="C24" s="10" t="inlineStr">
        <is>
          <t>Earth</t>
        </is>
      </c>
      <c r="D24" s="10" t="inlineStr">
        <is>
          <t>Moon</t>
        </is>
      </c>
      <c r="E24" s="10" t="inlineStr">
        <is>
          <t>Germany</t>
        </is>
      </c>
      <c r="F24" s="11" t="n">
        <v>48.88</v>
      </c>
      <c r="G24" s="11" t="n">
        <v>10.58</v>
      </c>
      <c r="H24" s="10" t="inlineStr">
        <is>
          <t>Astronaut training (field geology)</t>
        </is>
      </c>
      <c r="I24" s="13" t="n">
        <v>8.74</v>
      </c>
      <c r="J24" s="13" t="n">
        <v>9</v>
      </c>
      <c r="K24" s="10" t="n">
        <v>2.05</v>
      </c>
      <c r="L24" s="10">
        <f>ROUND(K24*365,0)</f>
        <v/>
      </c>
      <c r="M24" s="10" t="n">
        <v>470</v>
      </c>
      <c r="N24" s="10" t="n">
        <v>416</v>
      </c>
      <c r="O24" s="13" t="n">
        <v>0.6</v>
      </c>
      <c r="P24" s="10" t="n">
        <v>13</v>
      </c>
      <c r="Q24" s="10" t="inlineStr">
        <is>
          <t>Impact crater rocks</t>
        </is>
      </c>
      <c r="R24" s="12" t="n"/>
      <c r="S24" s="10" t="inlineStr">
        <is>
          <t>Apollo 14 and 17 crews trained here; ESA PANGAEA astronaut training. Coordinates: approximate crater centre.</t>
        </is>
      </c>
      <c r="T24" s="10" t="inlineStr">
        <is>
          <t>https://blogs.esa.int/caves/2017/09/18/the-astronauts-are-back/</t>
        </is>
      </c>
      <c r="U24" s="10" t="inlineStr">
        <is>
          <t>NASA POWER 2001-2020 (MERRA-2); ASTER GDEM via OpenTopoData</t>
        </is>
      </c>
    </row>
    <row r="25">
      <c r="A25" s="10" t="inlineStr">
        <is>
          <t>lofoten</t>
        </is>
      </c>
      <c r="B25" s="10" t="inlineStr">
        <is>
          <t>Lofoten anorthosite</t>
        </is>
      </c>
      <c r="C25" s="10" t="inlineStr">
        <is>
          <t>Earth</t>
        </is>
      </c>
      <c r="D25" s="10" t="inlineStr">
        <is>
          <t>Moon</t>
        </is>
      </c>
      <c r="E25" s="10" t="inlineStr">
        <is>
          <t>Norway</t>
        </is>
      </c>
      <c r="F25" s="11" t="n">
        <v>68.09999999999999</v>
      </c>
      <c r="G25" s="11" t="n">
        <v>13.5</v>
      </c>
      <c r="H25" s="10" t="inlineStr">
        <is>
          <t>Astronaut training (field geology)</t>
        </is>
      </c>
      <c r="I25" s="13" t="n">
        <v>5.95</v>
      </c>
      <c r="J25" s="13" t="n">
        <v>2.19</v>
      </c>
      <c r="K25" s="10" t="n">
        <v>3.32</v>
      </c>
      <c r="L25" s="10">
        <f>ROUND(K25*365,0)</f>
        <v/>
      </c>
      <c r="M25" s="10" t="n">
        <v>30</v>
      </c>
      <c r="N25" s="10" t="n">
        <v>321</v>
      </c>
      <c r="O25" s="13" t="n">
        <v>2.7</v>
      </c>
      <c r="P25" s="10" t="n">
        <v>166</v>
      </c>
      <c r="Q25" s="10" t="inlineStr">
        <is>
          <t>Anorthosite</t>
        </is>
      </c>
      <c r="R25" s="12" t="n"/>
      <c r="S25" s="10" t="inlineStr">
        <is>
          <t>ESA trains astronauts here in lunar highland geology for Artemis. Coordinates: approximate area centre.</t>
        </is>
      </c>
      <c r="T25" s="10" t="inlineStr">
        <is>
          <t>https://blogs.esa.int/caves/2025/07/28/astronauts-learn-moon-geology-in-a-fjord/</t>
        </is>
      </c>
      <c r="U25" s="10" t="inlineStr">
        <is>
          <t>NASA POWER 2001-2020 (MERRA-2); ASTER GDEM via OpenTopoData</t>
        </is>
      </c>
    </row>
    <row r="26">
      <c r="A26" s="10" t="inlineStr">
        <is>
          <t>craters-of-the-moon</t>
        </is>
      </c>
      <c r="B26" s="10" t="inlineStr">
        <is>
          <t>Craters of the Moon lava field</t>
        </is>
      </c>
      <c r="C26" s="10" t="inlineStr">
        <is>
          <t>Earth</t>
        </is>
      </c>
      <c r="D26" s="10" t="inlineStr">
        <is>
          <t>Moon</t>
        </is>
      </c>
      <c r="E26" s="10" t="inlineStr">
        <is>
          <t>USA (Idaho)</t>
        </is>
      </c>
      <c r="F26" s="11" t="n">
        <v>43.46</v>
      </c>
      <c r="G26" s="11" t="n">
        <v>-113.51</v>
      </c>
      <c r="H26" s="10" t="inlineStr">
        <is>
          <t>Astronaut training (field geology)</t>
        </is>
      </c>
      <c r="I26" s="13" t="n">
        <v>5.69</v>
      </c>
      <c r="J26" s="13" t="n">
        <v>12.35</v>
      </c>
      <c r="K26" s="10" t="n">
        <v>1.14</v>
      </c>
      <c r="L26" s="10">
        <f>ROUND(K26*365,0)</f>
        <v/>
      </c>
      <c r="M26" s="10" t="n">
        <v>1892</v>
      </c>
      <c r="N26" s="10" t="n">
        <v>1736</v>
      </c>
      <c r="O26" s="13" t="n">
        <v>1.6</v>
      </c>
      <c r="P26" s="10" t="n">
        <v>22</v>
      </c>
      <c r="Q26" s="10" t="inlineStr">
        <is>
          <t>Lava field</t>
        </is>
      </c>
      <c r="R26" s="12" t="n"/>
      <c r="S26" s="10" t="inlineStr">
        <is>
          <t>Apollo 14 astronaut field training (1969). Coordinates: approximate area centre.</t>
        </is>
      </c>
      <c r="T26" s="10" t="inlineStr">
        <is>
          <t>https://www.nps.gov/crmo/learn/historyculture/space-exploration-research-and-astronaut-training.htm</t>
        </is>
      </c>
      <c r="U26" s="10" t="inlineStr">
        <is>
          <t>NASA POWER 2001-2020 (MERRA-2); ASTER GDEM via OpenTopoData</t>
        </is>
      </c>
    </row>
    <row r="27">
      <c r="A27" s="10" t="inlineStr">
        <is>
          <t>lanzarote-corona</t>
        </is>
      </c>
      <c r="B27" s="10" t="inlineStr">
        <is>
          <t>La Corona lava tube, Lanzarote</t>
        </is>
      </c>
      <c r="C27" s="10" t="inlineStr">
        <is>
          <t>Earth</t>
        </is>
      </c>
      <c r="D27" s="10" t="inlineStr">
        <is>
          <t>Mars</t>
        </is>
      </c>
      <c r="E27" s="10" t="inlineStr">
        <is>
          <t>Spain (Canary Islands)</t>
        </is>
      </c>
      <c r="F27" s="11" t="n">
        <v>29.1</v>
      </c>
      <c r="G27" s="11" t="n">
        <v>-13.5</v>
      </c>
      <c r="H27" s="10" t="inlineStr">
        <is>
          <t>Astronaut training (field geology)</t>
        </is>
      </c>
      <c r="I27" s="13" t="n">
        <v>20.12</v>
      </c>
      <c r="J27" s="13" t="n">
        <v>2.35</v>
      </c>
      <c r="K27" s="10" t="n">
        <v>0.3</v>
      </c>
      <c r="L27" s="10">
        <f>ROUND(K27*365,0)</f>
        <v/>
      </c>
      <c r="M27" s="10" t="n">
        <v>27</v>
      </c>
      <c r="N27" s="10" t="n">
        <v>311</v>
      </c>
      <c r="O27" s="13" t="n">
        <v>5.7</v>
      </c>
      <c r="P27" s="10" t="n">
        <v>121</v>
      </c>
      <c r="Q27" s="10" t="inlineStr">
        <is>
          <t>Volcanic lava tube</t>
        </is>
      </c>
      <c r="R27" s="12" t="n"/>
      <c r="S27" s="10" t="inlineStr">
        <is>
          <t>Analog for the Martian subsurface; ESA training site. Coordinates approximate; climate cell is coastal.</t>
        </is>
      </c>
      <c r="T27" s="10" t="inlineStr">
        <is>
          <t>https://pubmed.ncbi.nlm.nih.gov/41572783/</t>
        </is>
      </c>
      <c r="U27" s="10" t="inlineStr">
        <is>
          <t>NASA POWER 2001-2020 (MERRA-2); ASTER GDEM via OpenTopoData</t>
        </is>
      </c>
    </row>
    <row r="28">
      <c r="A28" s="10" t="inlineStr">
        <is>
          <t>moon-1</t>
        </is>
      </c>
      <c r="B28" s="10" t="inlineStr">
        <is>
          <t>Peak near Cabeus B</t>
        </is>
      </c>
      <c r="C28" s="10" t="inlineStr">
        <is>
          <t>Moon</t>
        </is>
      </c>
      <c r="D28" s="12" t="n"/>
      <c r="E28" s="10" t="inlineStr">
        <is>
          <t>Lunar south pole</t>
        </is>
      </c>
      <c r="F28" s="11" t="n">
        <v>-83.57299999999999</v>
      </c>
      <c r="G28" s="11" t="n">
        <v>-69.08499999999999</v>
      </c>
      <c r="H28" s="10" t="inlineStr">
        <is>
          <t>Base / habitat building</t>
        </is>
      </c>
      <c r="I28" s="14" t="n"/>
      <c r="J28" s="14" t="n"/>
      <c r="K28" s="12" t="n"/>
      <c r="L28" s="12" t="n"/>
      <c r="M28" s="12" t="n"/>
      <c r="N28" s="10" t="n">
        <v>-4450</v>
      </c>
      <c r="O28" s="14" t="n"/>
      <c r="P28" s="12" t="n"/>
      <c r="Q28" s="12" t="n"/>
      <c r="R28" s="12" t="n"/>
      <c r="S28" s="10" t="inlineStr">
        <is>
          <t>Official Artemis III region (NASA, Oct 2024). Coordinates = mean of 5 candidate landing sites (JGR Planets 2025). Area suitable for landing: 0.5%. Landing sites need slopes &lt; 8° (96% &lt; 5°). Cold trap (&lt; 110 K) reachable from a landing site: no. Elevation: mean -4450 m (range -5525 to -3060 m, USGS).</t>
        </is>
      </c>
      <c r="T28" s="10" t="inlineStr">
        <is>
          <t>https://agupubs.onlinelibrary.wiley.com/doi/10.1029/2025JE009434</t>
        </is>
      </c>
      <c r="U28" s="10" t="inlineStr">
        <is>
          <t>https://www.hou.usra.edu/meetings/mapsitapril2026/presentations/Tuesday/1505_McClernan.pdf</t>
        </is>
      </c>
    </row>
    <row r="29">
      <c r="A29" s="10" t="inlineStr">
        <is>
          <t>moon-2</t>
        </is>
      </c>
      <c r="B29" s="10" t="inlineStr">
        <is>
          <t>Haworth</t>
        </is>
      </c>
      <c r="C29" s="10" t="inlineStr">
        <is>
          <t>Moon</t>
        </is>
      </c>
      <c r="D29" s="12" t="n"/>
      <c r="E29" s="10" t="inlineStr">
        <is>
          <t>Lunar south pole</t>
        </is>
      </c>
      <c r="F29" s="11" t="n">
        <v>-86.77200000000001</v>
      </c>
      <c r="G29" s="11" t="n">
        <v>-22.817</v>
      </c>
      <c r="H29" s="10" t="inlineStr">
        <is>
          <t>Base / habitat building</t>
        </is>
      </c>
      <c r="I29" s="14" t="n"/>
      <c r="J29" s="14" t="n"/>
      <c r="K29" s="12" t="n"/>
      <c r="L29" s="12" t="n"/>
      <c r="M29" s="12" t="n"/>
      <c r="N29" s="10" t="n">
        <v>-5777</v>
      </c>
      <c r="O29" s="14" t="n"/>
      <c r="P29" s="12" t="n"/>
      <c r="Q29" s="12" t="n"/>
      <c r="R29" s="12" t="n"/>
      <c r="S29" s="10" t="inlineStr">
        <is>
          <t>Official Artemis III region (NASA, Oct 2024). Coordinates = mean of 10 candidate landing sites (JGR Planets 2025). Area suitable for landing: 8.7%. Landing sites need slopes &lt; 8° (96% &lt; 5°). Cold trap (&lt; 110 K) reachable from a landing site: yes. Elevation: mean -5777 m (range -6616 to -4528 m, USGS).</t>
        </is>
      </c>
      <c r="T29" s="10" t="inlineStr">
        <is>
          <t>https://agupubs.onlinelibrary.wiley.com/doi/10.1029/2025JE009434</t>
        </is>
      </c>
      <c r="U29" s="10" t="inlineStr">
        <is>
          <t>https://www.hou.usra.edu/meetings/mapsitapril2026/presentations/Tuesday/1505_McClernan.pdf</t>
        </is>
      </c>
    </row>
    <row r="30">
      <c r="A30" s="10" t="inlineStr">
        <is>
          <t>moon-3</t>
        </is>
      </c>
      <c r="B30" s="10" t="inlineStr">
        <is>
          <t>Malapert Massif</t>
        </is>
      </c>
      <c r="C30" s="10" t="inlineStr">
        <is>
          <t>Moon</t>
        </is>
      </c>
      <c r="D30" s="12" t="n"/>
      <c r="E30" s="10" t="inlineStr">
        <is>
          <t>Lunar south pole</t>
        </is>
      </c>
      <c r="F30" s="11" t="n">
        <v>-86.056</v>
      </c>
      <c r="G30" s="11" t="n">
        <v>-0.325</v>
      </c>
      <c r="H30" s="10" t="inlineStr">
        <is>
          <t>Base / habitat building</t>
        </is>
      </c>
      <c r="I30" s="14" t="n"/>
      <c r="J30" s="14" t="n"/>
      <c r="K30" s="12" t="n"/>
      <c r="L30" s="12" t="n"/>
      <c r="M30" s="12" t="n"/>
      <c r="N30" s="10" t="n">
        <v>-6784</v>
      </c>
      <c r="O30" s="14" t="n"/>
      <c r="P30" s="12" t="n"/>
      <c r="Q30" s="12" t="n"/>
      <c r="R30" s="12" t="n"/>
      <c r="S30" s="10" t="inlineStr">
        <is>
          <t>Official Artemis III region (NASA, Oct 2024). Coordinates = mean of 4 candidate landing sites (JGR Planets 2025). Area suitable for landing: 1.6%. Landing sites need slopes &lt; 8° (96% &lt; 5°). Cold trap (&lt; 110 K) reachable from a landing site: no (only 110-125 K). Elevation: mean -6784 m (range -7734 to -5089 m, USGS).</t>
        </is>
      </c>
      <c r="T30" s="10" t="inlineStr">
        <is>
          <t>https://agupubs.onlinelibrary.wiley.com/doi/10.1029/2025JE009434</t>
        </is>
      </c>
      <c r="U30" s="10" t="inlineStr">
        <is>
          <t>https://www.hou.usra.edu/meetings/mapsitapril2026/presentations/Tuesday/1505_McClernan.pdf</t>
        </is>
      </c>
    </row>
    <row r="31">
      <c r="A31" s="10" t="inlineStr">
        <is>
          <t>moon-4</t>
        </is>
      </c>
      <c r="B31" s="10" t="inlineStr">
        <is>
          <t>Mons Mouton Plateau</t>
        </is>
      </c>
      <c r="C31" s="10" t="inlineStr">
        <is>
          <t>Moon</t>
        </is>
      </c>
      <c r="D31" s="12" t="n"/>
      <c r="E31" s="10" t="inlineStr">
        <is>
          <t>Lunar south pole</t>
        </is>
      </c>
      <c r="F31" s="11" t="n">
        <v>-84.506</v>
      </c>
      <c r="G31" s="11" t="n">
        <v>30.514</v>
      </c>
      <c r="H31" s="10" t="inlineStr">
        <is>
          <t>Base / habitat building</t>
        </is>
      </c>
      <c r="I31" s="14" t="n"/>
      <c r="J31" s="14" t="n"/>
      <c r="K31" s="12" t="n"/>
      <c r="L31" s="12" t="n"/>
      <c r="M31" s="12" t="n"/>
      <c r="N31" s="10" t="n">
        <v>-5906</v>
      </c>
      <c r="O31" s="14" t="n"/>
      <c r="P31" s="12" t="n"/>
      <c r="Q31" s="12" t="n"/>
      <c r="R31" s="12" t="n"/>
      <c r="S31" s="10" t="inlineStr">
        <is>
          <t>Official Artemis III region (NASA, Oct 2024). Coordinates = mean of 11 candidate landing sites (JGR Planets 2025). Area suitable for landing: 12.7%. Landing sites need slopes &lt; 8° (96% &lt; 5°). Cold trap (&lt; 110 K) reachable from a landing site: yes. Elevation: mean -5906 m (range -8042 to -1476 m, USGS).</t>
        </is>
      </c>
      <c r="T31" s="10" t="inlineStr">
        <is>
          <t>https://agupubs.onlinelibrary.wiley.com/doi/10.1029/2025JE009434</t>
        </is>
      </c>
      <c r="U31" s="10" t="inlineStr">
        <is>
          <t>https://www.hou.usra.edu/meetings/mapsitapril2026/presentations/Tuesday/1505_McClernan.pdf</t>
        </is>
      </c>
    </row>
    <row r="32">
      <c r="A32" s="10" t="inlineStr">
        <is>
          <t>moon-5</t>
        </is>
      </c>
      <c r="B32" s="10" t="inlineStr">
        <is>
          <t>Mons Mouton</t>
        </is>
      </c>
      <c r="C32" s="10" t="inlineStr">
        <is>
          <t>Moon</t>
        </is>
      </c>
      <c r="D32" s="12" t="n"/>
      <c r="E32" s="10" t="inlineStr">
        <is>
          <t>Lunar south pole</t>
        </is>
      </c>
      <c r="F32" s="11" t="n">
        <v>-85.395</v>
      </c>
      <c r="G32" s="11" t="n">
        <v>31.19</v>
      </c>
      <c r="H32" s="10" t="inlineStr">
        <is>
          <t>Base / habitat building</t>
        </is>
      </c>
      <c r="I32" s="14" t="n"/>
      <c r="J32" s="14" t="n"/>
      <c r="K32" s="12" t="n"/>
      <c r="L32" s="12" t="n"/>
      <c r="M32" s="12" t="n"/>
      <c r="N32" s="12" t="n"/>
      <c r="O32" s="14" t="n"/>
      <c r="P32" s="12" t="n"/>
      <c r="Q32" s="12" t="n"/>
      <c r="R32" s="12" t="n"/>
      <c r="S32" s="10" t="inlineStr">
        <is>
          <t>Official Artemis III region (NASA, Oct 2024). Coordinates = mean of 10 candidate landing sites (JGR Planets 2025). Area suitable for landing: 8.1%. Landing sites need slopes &lt; 8° (96% &lt; 5°). Cold trap (&lt; 110 K) reachable from a landing site: yes. Elevation: not in the USGS table.</t>
        </is>
      </c>
      <c r="T32" s="10" t="inlineStr">
        <is>
          <t>https://agupubs.onlinelibrary.wiley.com/doi/10.1029/2025JE009434</t>
        </is>
      </c>
      <c r="U32" s="12" t="n"/>
    </row>
    <row r="33">
      <c r="A33" s="10" t="inlineStr">
        <is>
          <t>moon-6</t>
        </is>
      </c>
      <c r="B33" s="10" t="inlineStr">
        <is>
          <t>Nobile Rim 1</t>
        </is>
      </c>
      <c r="C33" s="10" t="inlineStr">
        <is>
          <t>Moon</t>
        </is>
      </c>
      <c r="D33" s="12" t="n"/>
      <c r="E33" s="10" t="inlineStr">
        <is>
          <t>Lunar south pole</t>
        </is>
      </c>
      <c r="F33" s="11" t="n">
        <v>-85.188</v>
      </c>
      <c r="G33" s="11" t="n">
        <v>37.238</v>
      </c>
      <c r="H33" s="10" t="inlineStr">
        <is>
          <t>Base / habitat building</t>
        </is>
      </c>
      <c r="I33" s="14" t="n"/>
      <c r="J33" s="14" t="n"/>
      <c r="K33" s="12" t="n"/>
      <c r="L33" s="12" t="n"/>
      <c r="M33" s="12" t="n"/>
      <c r="N33" s="10" t="n">
        <v>-7271</v>
      </c>
      <c r="O33" s="14" t="n"/>
      <c r="P33" s="12" t="n"/>
      <c r="Q33" s="12" t="n"/>
      <c r="R33" s="12" t="n"/>
      <c r="S33" s="10" t="inlineStr">
        <is>
          <t>Official Artemis III region (NASA, Oct 2024). Coordinates = mean of 9 candidate landing sites (JGR Planets 2025). Area suitable for landing: 5.5%. Landing sites need slopes &lt; 8° (96% &lt; 5°). Cold trap (&lt; 110 K) reachable from a landing site: no. Elevation: mean -7271 m (range -8183 to -4924 m, USGS).</t>
        </is>
      </c>
      <c r="T33" s="10" t="inlineStr">
        <is>
          <t>https://agupubs.onlinelibrary.wiley.com/doi/10.1029/2025JE009434</t>
        </is>
      </c>
      <c r="U33" s="10" t="inlineStr">
        <is>
          <t>https://www.hou.usra.edu/meetings/mapsitapril2026/presentations/Tuesday/1505_McClernan.pdf</t>
        </is>
      </c>
    </row>
    <row r="34">
      <c r="A34" s="10" t="inlineStr">
        <is>
          <t>moon-7</t>
        </is>
      </c>
      <c r="B34" s="10" t="inlineStr">
        <is>
          <t>Nobile Rim 2</t>
        </is>
      </c>
      <c r="C34" s="10" t="inlineStr">
        <is>
          <t>Moon</t>
        </is>
      </c>
      <c r="D34" s="12" t="n"/>
      <c r="E34" s="10" t="inlineStr">
        <is>
          <t>Lunar south pole</t>
        </is>
      </c>
      <c r="F34" s="11" t="n">
        <v>-83.863</v>
      </c>
      <c r="G34" s="11" t="n">
        <v>58.31</v>
      </c>
      <c r="H34" s="10" t="inlineStr">
        <is>
          <t>Base / habitat building</t>
        </is>
      </c>
      <c r="I34" s="14" t="n"/>
      <c r="J34" s="14" t="n"/>
      <c r="K34" s="12" t="n"/>
      <c r="L34" s="12" t="n"/>
      <c r="M34" s="12" t="n"/>
      <c r="N34" s="10" t="n">
        <v>-3595</v>
      </c>
      <c r="O34" s="14" t="n"/>
      <c r="P34" s="12" t="n"/>
      <c r="Q34" s="12" t="n"/>
      <c r="R34" s="12" t="n"/>
      <c r="S34" s="10" t="inlineStr">
        <is>
          <t>Official Artemis III region (NASA, Oct 2024). Coordinates = mean of 8 candidate landing sites (JGR Planets 2025). Area suitable for landing: 14.0%. Landing sites need slopes &lt; 8° (96% &lt; 5°). Cold trap (&lt; 110 K) reachable from a landing site: yes. Elevation: mean -3595 m (range -4356 to -2260 m, USGS).</t>
        </is>
      </c>
      <c r="T34" s="10" t="inlineStr">
        <is>
          <t>https://agupubs.onlinelibrary.wiley.com/doi/10.1029/2025JE009434</t>
        </is>
      </c>
      <c r="U34" s="10" t="inlineStr">
        <is>
          <t>https://www.hou.usra.edu/meetings/mapsitapril2026/presentations/Tuesday/1505_McClernan.pdf</t>
        </is>
      </c>
    </row>
    <row r="35">
      <c r="A35" s="10" t="inlineStr">
        <is>
          <t>moon-8</t>
        </is>
      </c>
      <c r="B35" s="10" t="inlineStr">
        <is>
          <t>de Gerlache Rim 2</t>
        </is>
      </c>
      <c r="C35" s="10" t="inlineStr">
        <is>
          <t>Moon</t>
        </is>
      </c>
      <c r="D35" s="12" t="n"/>
      <c r="E35" s="10" t="inlineStr">
        <is>
          <t>Lunar south pole</t>
        </is>
      </c>
      <c r="F35" s="11" t="n">
        <v>-88.12</v>
      </c>
      <c r="G35" s="11" t="n">
        <v>-69.018</v>
      </c>
      <c r="H35" s="10" t="inlineStr">
        <is>
          <t>Base / habitat building</t>
        </is>
      </c>
      <c r="I35" s="14" t="n"/>
      <c r="J35" s="14" t="n"/>
      <c r="K35" s="12" t="n"/>
      <c r="L35" s="12" t="n"/>
      <c r="M35" s="12" t="n"/>
      <c r="N35" s="10" t="n">
        <v>-5676</v>
      </c>
      <c r="O35" s="14" t="n"/>
      <c r="P35" s="12" t="n"/>
      <c r="Q35" s="12" t="n"/>
      <c r="R35" s="12" t="n"/>
      <c r="S35" s="10" t="inlineStr">
        <is>
          <t>Official Artemis III region (NASA, Oct 2024). Coordinates = mean of 6 candidate landing sites (JGR Planets 2025). Area suitable for landing: 7.5%. Landing sites need slopes &lt; 8° (96% &lt; 5°). Cold trap (&lt; 110 K) reachable from a landing site: no. Elevation: mean -5676 m (range -6860 to -4551 m, USGS).</t>
        </is>
      </c>
      <c r="T35" s="10" t="inlineStr">
        <is>
          <t>https://agupubs.onlinelibrary.wiley.com/doi/10.1029/2025JE009434</t>
        </is>
      </c>
      <c r="U35" s="10" t="inlineStr">
        <is>
          <t>https://www.hou.usra.edu/meetings/mapsitapril2026/presentations/Tuesday/1505_McClernan.pdf</t>
        </is>
      </c>
    </row>
    <row r="36">
      <c r="A36" s="10" t="inlineStr">
        <is>
          <t>moon-9</t>
        </is>
      </c>
      <c r="B36" s="10" t="inlineStr">
        <is>
          <t>Slater Plain</t>
        </is>
      </c>
      <c r="C36" s="10" t="inlineStr">
        <is>
          <t>Moon</t>
        </is>
      </c>
      <c r="D36" s="12" t="n"/>
      <c r="E36" s="10" t="inlineStr">
        <is>
          <t>Lunar south pole</t>
        </is>
      </c>
      <c r="F36" s="11" t="n">
        <v>-87.20099999999999</v>
      </c>
      <c r="G36" s="11" t="n">
        <v>126.571</v>
      </c>
      <c r="H36" s="10" t="inlineStr">
        <is>
          <t>Base / habitat building</t>
        </is>
      </c>
      <c r="I36" s="14" t="n"/>
      <c r="J36" s="14" t="n"/>
      <c r="K36" s="12" t="n"/>
      <c r="L36" s="12" t="n"/>
      <c r="M36" s="12" t="n"/>
      <c r="N36" s="10" t="n">
        <v>-5307</v>
      </c>
      <c r="O36" s="14" t="n"/>
      <c r="P36" s="12" t="n"/>
      <c r="Q36" s="12" t="n"/>
      <c r="R36" s="12" t="n"/>
      <c r="S36" s="10" t="inlineStr">
        <is>
          <t>Official Artemis III region (NASA, Oct 2024). Coordinates = mean of 11 candidate landing sites (JGR Planets 2025). Area suitable for landing: 19.3%. Landing sites need slopes &lt; 8° (96% &lt; 5°). Cold trap (&lt; 110 K) reachable from a landing site: yes. Elevation: mean -5307 m (range -5746 to -4515 m, USGS).</t>
        </is>
      </c>
      <c r="T36" s="10" t="inlineStr">
        <is>
          <t>https://agupubs.onlinelibrary.wiley.com/doi/10.1029/2025JE009434</t>
        </is>
      </c>
      <c r="U36" s="10" t="inlineStr">
        <is>
          <t>https://www.hou.usra.edu/meetings/mapsitapril2026/presentations/Tuesday/1505_McClernan.pdf</t>
        </is>
      </c>
    </row>
    <row r="37">
      <c r="A37" s="10" t="inlineStr">
        <is>
          <t>mars-1</t>
        </is>
      </c>
      <c r="B37" s="10" t="inlineStr">
        <is>
          <t>Jezero Crater</t>
        </is>
      </c>
      <c r="C37" s="10" t="inlineStr">
        <is>
          <t>Mars</t>
        </is>
      </c>
      <c r="D37" s="12" t="n"/>
      <c r="E37" s="10" t="inlineStr">
        <is>
          <t>Isidis Planitia (west edge)</t>
        </is>
      </c>
      <c r="F37" s="11" t="n">
        <v>18.44</v>
      </c>
      <c r="G37" s="11" t="n">
        <v>77.45</v>
      </c>
      <c r="H37" s="12" t="n"/>
      <c r="I37" s="14" t="n"/>
      <c r="J37" s="14" t="n">
        <v>61</v>
      </c>
      <c r="K37" s="12" t="n"/>
      <c r="L37" s="12" t="n"/>
      <c r="M37" s="12" t="n"/>
      <c r="N37" s="12" t="n"/>
      <c r="O37" s="14" t="n"/>
      <c r="P37" s="12" t="n"/>
      <c r="Q37" s="12" t="n"/>
      <c r="R37" s="12" t="n"/>
      <c r="S37" s="10" t="inlineStr">
        <is>
          <t>Perseverance landing site (Octavia E. Butler Landing), 18.44° N, 77.45° E. Day–night swing: one sample day (sols 43–44), high −22 °C, low −83 °C (MEDA; NASA/JPL, https://www.jpl.nasa.gov/news/nasas-first-weather-report-from-jezero-crater-on-mars/).</t>
        </is>
      </c>
      <c r="T37" s="10" t="inlineStr">
        <is>
          <t>https://en.wikipedia.org/wiki/Octavia_E._Butler_Landing</t>
        </is>
      </c>
      <c r="U37" s="12" t="n"/>
    </row>
    <row r="38">
      <c r="A38" s="10" t="inlineStr">
        <is>
          <t>mars-2</t>
        </is>
      </c>
      <c r="B38" s="10" t="inlineStr">
        <is>
          <t>Gale Crater</t>
        </is>
      </c>
      <c r="C38" s="10" t="inlineStr">
        <is>
          <t>Mars</t>
        </is>
      </c>
      <c r="D38" s="12" t="n"/>
      <c r="E38" s="10" t="inlineStr">
        <is>
          <t>Aeolis</t>
        </is>
      </c>
      <c r="F38" s="11" t="n">
        <v>-4.5895</v>
      </c>
      <c r="G38" s="11" t="n">
        <v>137.4417</v>
      </c>
      <c r="H38" s="12" t="n"/>
      <c r="I38" s="14" t="n"/>
      <c r="J38" s="14" t="n">
        <v>70</v>
      </c>
      <c r="K38" s="12" t="n"/>
      <c r="L38" s="12" t="n"/>
      <c r="M38" s="12" t="n"/>
      <c r="N38" s="12" t="n"/>
      <c r="O38" s="14" t="n"/>
      <c r="P38" s="12" t="n"/>
      <c r="Q38" s="12" t="n"/>
      <c r="R38" s="12" t="n"/>
      <c r="S38" s="10" t="inlineStr">
        <is>
          <t>Curiosity landing site (Bradbury Landing). Day–night swing: daily highs about 0 °C, lows about −70 °C (REMS; NASA/JPL, https://www.jpl.nasa.gov/images/pia16913-steady-temperatures-at-mars-gale-crater/).</t>
        </is>
      </c>
      <c r="T38" s="10" t="inlineStr">
        <is>
          <t>https://en.wikipedia.org/wiki/Curiosity_(rover)</t>
        </is>
      </c>
      <c r="U38" s="12" t="n"/>
    </row>
    <row r="39">
      <c r="A39" s="10" t="inlineStr">
        <is>
          <t>mars-3</t>
        </is>
      </c>
      <c r="B39" s="10" t="inlineStr">
        <is>
          <t>Oxia Planum</t>
        </is>
      </c>
      <c r="C39" s="10" t="inlineStr">
        <is>
          <t>Mars</t>
        </is>
      </c>
      <c r="D39" s="12" t="n"/>
      <c r="E39" s="10" t="inlineStr">
        <is>
          <t>Chryse/Arabia boundary</t>
        </is>
      </c>
      <c r="F39" s="11" t="n">
        <v>18.2</v>
      </c>
      <c r="G39" s="11" t="n">
        <v>-24.55</v>
      </c>
      <c r="H39" s="12" t="n"/>
      <c r="I39" s="14" t="n"/>
      <c r="J39" s="14" t="n"/>
      <c r="K39" s="12" t="n"/>
      <c r="L39" s="12" t="n"/>
      <c r="M39" s="12" t="n"/>
      <c r="N39" s="12" t="n"/>
      <c r="O39" s="14" t="n"/>
      <c r="P39" s="12" t="n"/>
      <c r="Q39" s="12" t="n"/>
      <c r="R39" s="12" t="n"/>
      <c r="S39" s="10" t="inlineStr">
        <is>
          <t>ExoMars Rosalind Franklin landing site; centre of the published high-resolution map (18.20° N, 335.45° E). Landing ellipse avoids slopes &gt;8° at the MOLA sub-kilometre scale (Quantin-Nataf et al. 2021).</t>
        </is>
      </c>
      <c r="T39" s="10" t="inlineStr">
        <is>
          <t>https://www.tandfonline.com/doi/full/10.1080/17445647.2024.2302361</t>
        </is>
      </c>
      <c r="U39" s="12" t="n"/>
    </row>
    <row r="40">
      <c r="A40" s="10" t="inlineStr">
        <is>
          <t>mars-4</t>
        </is>
      </c>
      <c r="B40" s="10" t="inlineStr">
        <is>
          <t>Victoria Crater (Meridiani Planum)</t>
        </is>
      </c>
      <c r="C40" s="10" t="inlineStr">
        <is>
          <t>Mars</t>
        </is>
      </c>
      <c r="D40" s="12" t="n"/>
      <c r="E40" s="10" t="inlineStr">
        <is>
          <t>Meridiani Planum</t>
        </is>
      </c>
      <c r="F40" s="11" t="n">
        <v>-2.05</v>
      </c>
      <c r="G40" s="11" t="n">
        <v>-5.5</v>
      </c>
      <c r="H40" s="12" t="n"/>
      <c r="I40" s="14" t="n"/>
      <c r="J40" s="14" t="n"/>
      <c r="K40" s="12" t="n"/>
      <c r="L40" s="12" t="n"/>
      <c r="M40" s="12" t="n"/>
      <c r="N40" s="12" t="n"/>
      <c r="O40" s="14" t="n"/>
      <c r="P40" s="12" t="n"/>
      <c r="Q40" s="12" t="n"/>
      <c r="R40" s="12" t="n"/>
      <c r="S40" s="10" t="inlineStr">
        <is>
          <t>About 800 m across (NASA); explored by Opportunity.</t>
        </is>
      </c>
      <c r="T40" s="10" t="inlineStr">
        <is>
          <t>https://en.wikipedia.org/wiki/Victoria_(crater)</t>
        </is>
      </c>
      <c r="U40" s="12" t="n"/>
    </row>
    <row r="41">
      <c r="A41" s="10" t="inlineStr">
        <is>
          <t>mars-5</t>
        </is>
      </c>
      <c r="B41" s="10" t="inlineStr">
        <is>
          <t>Arcadia Planitia</t>
        </is>
      </c>
      <c r="C41" s="10" t="inlineStr">
        <is>
          <t>Mars</t>
        </is>
      </c>
      <c r="D41" s="12" t="n"/>
      <c r="E41" s="10" t="inlineStr">
        <is>
          <t>Northern mid-latitudes</t>
        </is>
      </c>
      <c r="F41" s="11" t="n">
        <v>39.8</v>
      </c>
      <c r="G41" s="11" t="n">
        <v>-157.9</v>
      </c>
      <c r="H41" s="12" t="n"/>
      <c r="I41" s="14" t="n"/>
      <c r="J41" s="14" t="n"/>
      <c r="K41" s="12" t="n"/>
      <c r="L41" s="12" t="n"/>
      <c r="M41" s="12" t="n"/>
      <c r="N41" s="12" t="n"/>
      <c r="O41" s="14" t="n"/>
      <c r="P41" s="12" t="n"/>
      <c r="Q41" s="12" t="n"/>
      <c r="R41" s="12" t="n"/>
      <c r="S41" s="10" t="inlineStr">
        <is>
          <t>Candidate human landing site AP-1 (39.8° N, 202.1° E), with evidence of near-surface ice (Luzzi et al. 2025).</t>
        </is>
      </c>
      <c r="T41" s="10" t="inlineStr">
        <is>
          <t>https://agupubs.onlinelibrary.wiley.com/doi/10.1029/2024JE008724</t>
        </is>
      </c>
      <c r="U41" s="12" t="n"/>
    </row>
    <row r="42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</row>
    <row r="43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</row>
    <row r="44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  <c r="U44" s="12" t="n"/>
    </row>
    <row r="45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</row>
    <row r="46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  <c r="U46" s="12" t="n"/>
    </row>
    <row r="47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</row>
    <row r="48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</row>
    <row r="49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</row>
    <row r="50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</row>
    <row r="51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</row>
  </sheetData>
  <autoFilter ref="A1:U51"/>
  <dataValidations count="3">
    <dataValidation sqref="C3:C51" showDropDown="0" showInputMessage="0" showErrorMessage="0" allowBlank="1" type="list">
      <formula1>"Earth,Mars,Moon"</formula1>
    </dataValidation>
    <dataValidation sqref="D3:D51" showDropDown="0" showInputMessage="0" showErrorMessage="0" allowBlank="1" type="list">
      <formula1>"Mars,Moon,Both"</formula1>
    </dataValidation>
    <dataValidation sqref="H3:H51" showDropDown="0" showInputMessage="0" showErrorMessage="0" allowBlank="1" type="list">
      <formula1>Purposes!$A$2:$A$6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  <col width="70" customWidth="1" min="3" max="3"/>
  </cols>
  <sheetData>
    <row r="1" ht="44" customHeight="1">
      <c r="A1" s="4" t="inlineStr">
        <is>
          <t>Data</t>
        </is>
      </c>
      <c r="B1" s="4" t="inlineStr">
        <is>
          <t>Source</t>
        </is>
      </c>
      <c r="C1" s="4" t="inlineStr">
        <is>
          <t>Method / caveat</t>
        </is>
      </c>
    </row>
    <row r="2" ht="48" customHeight="1">
      <c r="A2" s="15" t="inlineStr">
        <is>
          <t>Climate (Earth)</t>
        </is>
      </c>
      <c r="B2" s="15" t="inlineStr">
        <is>
          <t>NASA POWER Climatology API v2.10, MERRA-2, 2001-2020: https://power.larc.nasa.gov</t>
        </is>
      </c>
      <c r="C2" s="15" t="inlineStr">
        <is>
          <t>Annual means of T2M, T2M_RANGE and PRECTOTCORR for the grid cell containing the coordinates (~50 km). Annual precipitation = mm/day × 365.</t>
        </is>
      </c>
    </row>
    <row r="3" ht="48" customHeight="1">
      <c r="A3" s="15" t="inlineStr">
        <is>
          <t>Site elevation, slope, relief (Earth)</t>
        </is>
      </c>
      <c r="B3" s="15" t="inlineStr">
        <is>
          <t>ASTER GDEM (30 m) via OpenTopoData: https://www.opentopodata.org</t>
        </is>
      </c>
      <c r="C3" s="15" t="inlineStr">
        <is>
          <t>3×3 samples 300 m apart around the coordinates. Slope at the centre by Horn's method; relief = max − min of the 9 samples. Represents a 0.6 km window only.</t>
        </is>
      </c>
    </row>
    <row r="4" ht="48" customHeight="1">
      <c r="A4" s="15" t="inlineStr">
        <is>
          <t>Artemis III regions</t>
        </is>
      </c>
      <c r="B4" s="15" t="inlineStr">
        <is>
          <t>NASA, Oct 28 2024: https://www.nasa.gov/news-release/nasa-provides-update-on-artemis-iii-moon-landing-regions/</t>
        </is>
      </c>
      <c r="C4" s="15" t="inlineStr">
        <is>
          <t>The nine official candidate regions.</t>
        </is>
      </c>
    </row>
    <row r="5" ht="48" customHeight="1">
      <c r="A5" s="15" t="inlineStr">
        <is>
          <t>Artemis landing sites, landing area, cold traps</t>
        </is>
      </c>
      <c r="B5" s="15" t="inlineStr">
        <is>
          <t>JGR Planets 2025, doi 10.1029/2025JE009434</t>
        </is>
      </c>
      <c r="C5" s="15" t="inlineStr">
        <is>
          <t>Region coordinates = mean of the published candidate landing sites (Table A1).</t>
        </is>
      </c>
    </row>
    <row r="6" ht="48" customHeight="1">
      <c r="A6" s="15" t="inlineStr">
        <is>
          <t>Artemis region elevations</t>
        </is>
      </c>
      <c r="B6" s="15" t="inlineStr">
        <is>
          <t>USGS / McClernan, LPI 2026 presentation (1505_McClernan.pdf)</t>
        </is>
      </c>
      <c r="C6" s="15" t="inlineStr">
        <is>
          <t>Mean, min and max elevation per region. Mons Mouton is not listed separately.</t>
        </is>
      </c>
    </row>
    <row r="7" ht="48" customHeight="1">
      <c r="A7" s="15" t="inlineStr">
        <is>
          <t>Mars site coordinates</t>
        </is>
      </c>
      <c r="B7" s="15" t="inlineStr">
        <is>
          <t>JPL, Wikipedia (citing NASA), Taylor &amp; Francis map paper, JGR Planets 2024</t>
        </is>
      </c>
      <c r="C7" s="15" t="inlineStr">
        <is>
          <t>See each row.</t>
        </is>
      </c>
    </row>
    <row r="8" ht="48" customHeight="1">
      <c r="A8" s="15" t="inlineStr">
        <is>
          <t>Purpose factors and weights</t>
        </is>
      </c>
      <c r="B8" s="15" t="inlineStr">
        <is>
          <t>Stern et al. 2025, JGR Planets, doi 10.1029/2024JE008803 (NASA-led framework)</t>
        </is>
      </c>
      <c r="C8" s="15" t="inlineStr">
        <is>
          <t>Factors chosen per purpose; equal weight per factor, as in the paper's unweighted 1-3 scoring. Landing slope &lt; 8° is a hard NASA requirement.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60" customWidth="1" min="2" max="2"/>
    <col width="44" customWidth="1" min="3" max="3"/>
  </cols>
  <sheetData>
    <row r="1" ht="44" customHeight="1">
      <c r="A1" s="4" t="inlineStr">
        <is>
          <t>Claim in the Gemini report</t>
        </is>
      </c>
      <c r="B1" s="4" t="inlineStr">
        <is>
          <t>Why we did not use it</t>
        </is>
      </c>
      <c r="C1" s="4" t="inlineStr">
        <is>
          <t>What we use instead</t>
        </is>
      </c>
    </row>
    <row r="2" ht="32" customHeight="1">
      <c r="A2" s="15" t="inlineStr">
        <is>
          <t>White Sands elevation 3,048 m</t>
        </is>
      </c>
      <c r="B2" s="15" t="inlineStr">
        <is>
          <t>Wrong: ASTER gives about 1,220 m at the site.</t>
        </is>
      </c>
      <c r="C2" s="15" t="inlineStr">
        <is>
          <t>ASTER site elevation</t>
        </is>
      </c>
    </row>
    <row r="3" ht="32" customHeight="1">
      <c r="A3" s="15" t="inlineStr">
        <is>
          <t>Meteor Crater mean temperature 0 °C; Henbury 10 °C</t>
        </is>
      </c>
      <c r="B3" s="15" t="inlineStr">
        <is>
          <t>Past (paleo) climates, not today.</t>
        </is>
      </c>
      <c r="C3" s="15" t="inlineStr">
        <is>
          <t>NASA POWER 2001-2020</t>
        </is>
      </c>
    </row>
    <row r="4" ht="32" customHeight="1">
      <c r="A4" s="15" t="inlineStr">
        <is>
          <t>Garwood Valley precipitation 484 mm; elevation as a midpoint</t>
        </is>
      </c>
      <c r="B4" s="15" t="inlineStr">
        <is>
          <t>Not plausible for the Dry Valleys; averaging breaks the no-guessing rule.</t>
        </is>
      </c>
      <c r="C4" s="15" t="inlineStr">
        <is>
          <t>NASA POWER and ASTER</t>
        </is>
      </c>
    </row>
    <row r="5" ht="32" customHeight="1">
      <c r="A5" s="15" t="inlineStr">
        <is>
          <t>Harrat Ash Shaam (Jordan) used for lunar regolith simulants</t>
        </is>
      </c>
      <c r="B5" s="15" t="inlineStr">
        <is>
          <t>The cited page does not mention it.</t>
        </is>
      </c>
      <c r="C5" s="15" t="inlineStr">
        <is>
          <t>Not used until a real source is found</t>
        </is>
      </c>
    </row>
    <row r="6" ht="32" customHeight="1">
      <c r="A6" s="15" t="inlineStr">
        <is>
          <t>Rio Tinto (Spain) Mars analog</t>
        </is>
      </c>
      <c r="B6" s="15" t="inlineStr">
        <is>
          <t>Real analog, but the cited article is about soils in Colombia.</t>
        </is>
      </c>
      <c r="C6" s="15" t="inlineStr">
        <is>
          <t>Needs a primary source</t>
        </is>
      </c>
    </row>
    <row r="7" ht="32" customHeight="1">
      <c r="A7" s="15" t="inlineStr">
        <is>
          <t>Al-Jafr Basin (Jordan) Mars analog</t>
        </is>
      </c>
      <c r="B7" s="15" t="inlineStr">
        <is>
          <t>The cited article does not mention Al-Jafr.</t>
        </is>
      </c>
      <c r="C7" s="15" t="inlineStr">
        <is>
          <t>Not used until a real source is found</t>
        </is>
      </c>
    </row>
    <row r="8" ht="32" customHeight="1">
      <c r="A8" s="15" t="inlineStr">
        <is>
          <t>Tswaing, Vredefort, Wolfe Creek, Zhamanshin, Clearwater, New Quebec</t>
        </is>
      </c>
      <c r="B8" s="15" t="inlineStr">
        <is>
          <t>All cite one review about crater biology, not about Moon/Mars analogs.</t>
        </is>
      </c>
      <c r="C8" s="15" t="inlineStr">
        <is>
          <t>Not used</t>
        </is>
      </c>
    </row>
    <row r="9" ht="32" customHeight="1">
      <c r="A9" s="15" t="inlineStr">
        <is>
          <t>Relative weights per purpose</t>
        </is>
      </c>
      <c r="B9" s="15" t="inlineStr">
        <is>
          <t>Spread across purposes instead of across factors.</t>
        </is>
      </c>
      <c r="C9" s="15" t="inlineStr">
        <is>
          <t>Our proposed weights in Purposes</t>
        </is>
      </c>
    </row>
    <row r="10" ht="32" customHeight="1">
      <c r="A10" s="15" t="inlineStr">
        <is>
          <t>Malapert Massif 6,000 m, Mons Mouton 7,000 m elevation</t>
        </is>
      </c>
      <c r="B10" s="15" t="inlineStr">
        <is>
          <t>Relief above plains, not elevation.</t>
        </is>
      </c>
      <c r="C10" s="15" t="inlineStr">
        <is>
          <t>USGS mean elevations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2026-10-02T22:35:48Z</dcterms:created>
  <dcterms:modified xsi:type="dcterms:W3CDTF">2026-10-04T20:53:59Z</dcterms:modified>
</cp:coreProperties>
</file>